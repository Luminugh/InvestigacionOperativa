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\Documents\GitHub\InvestigacionOperativaExcel\yarimashita\Excel\"/>
    </mc:Choice>
  </mc:AlternateContent>
  <xr:revisionPtr revIDLastSave="0" documentId="8_{75FC1AFD-F82D-4126-A285-D8C2412BE2D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delo" sheetId="1" r:id="rId1"/>
    <sheet name="Eficaz" sheetId="4" r:id="rId2"/>
    <sheet name="Acuerdo (Eficiente)" sheetId="6" r:id="rId3"/>
    <sheet name="Sensibilidad" sheetId="8" r:id="rId4"/>
    <sheet name="Modelo de Trans" sheetId="7" r:id="rId5"/>
  </sheets>
  <definedNames>
    <definedName name="solver_adj" localSheetId="1" hidden="1">Eficaz!$B$3:$B$9</definedName>
    <definedName name="solver_adj" localSheetId="4" hidden="1">'Modelo de Trans'!$C$12:$E$14</definedName>
    <definedName name="solver_cvg" localSheetId="1" hidden="1">0.0001</definedName>
    <definedName name="solver_cvg" localSheetId="4" hidden="1">0.0001</definedName>
    <definedName name="solver_drv" localSheetId="1" hidden="1">1</definedName>
    <definedName name="solver_drv" localSheetId="4" hidden="1">2</definedName>
    <definedName name="solver_eng" localSheetId="1" hidden="1">2</definedName>
    <definedName name="solver_eng" localSheetId="4" hidden="1">2</definedName>
    <definedName name="solver_est" localSheetId="1" hidden="1">1</definedName>
    <definedName name="solver_est" localSheetId="4" hidden="1">1</definedName>
    <definedName name="solver_itr" localSheetId="1" hidden="1">2147483647</definedName>
    <definedName name="solver_itr" localSheetId="4" hidden="1">2147483647</definedName>
    <definedName name="solver_lhs1" localSheetId="1" hidden="1">Eficaz!$B$12:$B$20</definedName>
    <definedName name="solver_lhs1" localSheetId="4" hidden="1">'Modelo de Trans'!$C$13</definedName>
    <definedName name="solver_lhs2" localSheetId="1" hidden="1">Eficaz!$B$22:$B$24</definedName>
    <definedName name="solver_lhs2" localSheetId="4" hidden="1">'Modelo de Trans'!$C$15:$E$15</definedName>
    <definedName name="solver_lhs3" localSheetId="1" hidden="1">Eficaz!$B$3:$B$9</definedName>
    <definedName name="solver_lhs3" localSheetId="4" hidden="1">'Modelo de Trans'!$F$12:$F$14</definedName>
    <definedName name="solver_mip" localSheetId="1" hidden="1">2147483647</definedName>
    <definedName name="solver_mip" localSheetId="4" hidden="1">2147483647</definedName>
    <definedName name="solver_mni" localSheetId="1" hidden="1">30</definedName>
    <definedName name="solver_mni" localSheetId="4" hidden="1">30</definedName>
    <definedName name="solver_mrt" localSheetId="1" hidden="1">0.075</definedName>
    <definedName name="solver_mrt" localSheetId="4" hidden="1">0.075</definedName>
    <definedName name="solver_msl" localSheetId="1" hidden="1">2</definedName>
    <definedName name="solver_msl" localSheetId="4" hidden="1">2</definedName>
    <definedName name="solver_neg" localSheetId="1" hidden="1">1</definedName>
    <definedName name="solver_neg" localSheetId="4" hidden="1">1</definedName>
    <definedName name="solver_nod" localSheetId="1" hidden="1">2147483647</definedName>
    <definedName name="solver_nod" localSheetId="4" hidden="1">2147483647</definedName>
    <definedName name="solver_num" localSheetId="1" hidden="1">2</definedName>
    <definedName name="solver_num" localSheetId="4" hidden="1">3</definedName>
    <definedName name="solver_nwt" localSheetId="1" hidden="1">1</definedName>
    <definedName name="solver_nwt" localSheetId="4" hidden="1">1</definedName>
    <definedName name="solver_opt" localSheetId="1" hidden="1">Eficaz!$B$36</definedName>
    <definedName name="solver_opt" localSheetId="4" hidden="1">'Modelo de Trans'!$J$13</definedName>
    <definedName name="solver_pre" localSheetId="1" hidden="1">0.000001</definedName>
    <definedName name="solver_pre" localSheetId="4" hidden="1">0.000001</definedName>
    <definedName name="solver_rbv" localSheetId="1" hidden="1">1</definedName>
    <definedName name="solver_rbv" localSheetId="4" hidden="1">2</definedName>
    <definedName name="solver_rel1" localSheetId="1" hidden="1">1</definedName>
    <definedName name="solver_rel1" localSheetId="4" hidden="1">2</definedName>
    <definedName name="solver_rel2" localSheetId="1" hidden="1">3</definedName>
    <definedName name="solver_rel2" localSheetId="4" hidden="1">2</definedName>
    <definedName name="solver_rel3" localSheetId="1" hidden="1">4</definedName>
    <definedName name="solver_rel3" localSheetId="4" hidden="1">2</definedName>
    <definedName name="solver_rhs1" localSheetId="1" hidden="1">Eficaz!$D$12:$D$20</definedName>
    <definedName name="solver_rhs1" localSheetId="4" hidden="1">1</definedName>
    <definedName name="solver_rhs2" localSheetId="1" hidden="1">Eficaz!$D$22:$D$24</definedName>
    <definedName name="solver_rhs2" localSheetId="4" hidden="1">'Modelo de Trans'!$C$17:$E$17</definedName>
    <definedName name="solver_rhs3" localSheetId="1" hidden="1">"integer"</definedName>
    <definedName name="solver_rhs3" localSheetId="4" hidden="1">'Modelo de Trans'!$H$12:$H$14</definedName>
    <definedName name="solver_rlx" localSheetId="1" hidden="1">2</definedName>
    <definedName name="solver_rlx" localSheetId="4" hidden="1">2</definedName>
    <definedName name="solver_rsd" localSheetId="1" hidden="1">0</definedName>
    <definedName name="solver_rsd" localSheetId="4" hidden="1">0</definedName>
    <definedName name="solver_scl" localSheetId="1" hidden="1">1</definedName>
    <definedName name="solver_scl" localSheetId="4" hidden="1">2</definedName>
    <definedName name="solver_sho" localSheetId="1" hidden="1">2</definedName>
    <definedName name="solver_sho" localSheetId="4" hidden="1">2</definedName>
    <definedName name="solver_ssz" localSheetId="1" hidden="1">100</definedName>
    <definedName name="solver_ssz" localSheetId="4" hidden="1">100</definedName>
    <definedName name="solver_tim" localSheetId="1" hidden="1">2147483647</definedName>
    <definedName name="solver_tim" localSheetId="4" hidden="1">2147483647</definedName>
    <definedName name="solver_tol" localSheetId="1" hidden="1">0.01</definedName>
    <definedName name="solver_tol" localSheetId="4" hidden="1">0.01</definedName>
    <definedName name="solver_typ" localSheetId="1" hidden="1">1</definedName>
    <definedName name="solver_typ" localSheetId="4" hidden="1">2</definedName>
    <definedName name="solver_val" localSheetId="1" hidden="1">0</definedName>
    <definedName name="solver_val" localSheetId="4" hidden="1">0</definedName>
    <definedName name="solver_ver" localSheetId="1" hidden="1">3</definedName>
    <definedName name="solver_ver" localSheetId="4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7" l="1"/>
  <c r="J13" i="7"/>
  <c r="E15" i="7"/>
  <c r="D15" i="7"/>
  <c r="C15" i="7"/>
  <c r="F12" i="7"/>
  <c r="F13" i="7"/>
  <c r="F14" i="7"/>
  <c r="I9" i="8" l="1"/>
  <c r="I10" i="8"/>
  <c r="J10" i="8"/>
  <c r="I11" i="8"/>
  <c r="J11" i="8"/>
  <c r="I12" i="8"/>
  <c r="J12" i="8"/>
  <c r="I13" i="8"/>
  <c r="J13" i="8"/>
  <c r="I14" i="8"/>
  <c r="J14" i="8"/>
  <c r="I15" i="8"/>
  <c r="J15" i="8"/>
  <c r="I20" i="8"/>
  <c r="J20" i="8"/>
  <c r="I21" i="8"/>
  <c r="J21" i="8"/>
  <c r="I22" i="8"/>
  <c r="J22" i="8"/>
  <c r="I23" i="8"/>
  <c r="J23" i="8"/>
  <c r="I24" i="8"/>
  <c r="J24" i="8"/>
  <c r="I25" i="8"/>
  <c r="J25" i="8"/>
  <c r="I26" i="8"/>
  <c r="J26" i="8"/>
  <c r="I27" i="8"/>
  <c r="J27" i="8"/>
  <c r="I28" i="8"/>
  <c r="J28" i="8"/>
  <c r="I29" i="8"/>
  <c r="J29" i="8"/>
  <c r="I30" i="8"/>
  <c r="J30" i="8"/>
  <c r="I31" i="8"/>
  <c r="J31" i="8"/>
  <c r="J9" i="8"/>
  <c r="H19" i="6"/>
  <c r="B36" i="6"/>
  <c r="B24" i="6"/>
  <c r="B23" i="6"/>
  <c r="B22" i="6"/>
  <c r="B20" i="6"/>
  <c r="F20" i="6" s="1"/>
  <c r="B19" i="6"/>
  <c r="E19" i="6" s="1"/>
  <c r="G19" i="6" s="1"/>
  <c r="B18" i="6"/>
  <c r="F18" i="6" s="1"/>
  <c r="B17" i="6"/>
  <c r="F17" i="6" s="1"/>
  <c r="B16" i="6"/>
  <c r="E16" i="6" s="1"/>
  <c r="G16" i="6" s="1"/>
  <c r="B15" i="6"/>
  <c r="F15" i="6" s="1"/>
  <c r="B14" i="6"/>
  <c r="F14" i="6" s="1"/>
  <c r="B13" i="6"/>
  <c r="E13" i="6" s="1"/>
  <c r="H13" i="6" s="1"/>
  <c r="B12" i="6"/>
  <c r="F12" i="6" s="1"/>
  <c r="B36" i="4"/>
  <c r="B15" i="4"/>
  <c r="F15" i="4" s="1"/>
  <c r="H16" i="6" l="1"/>
  <c r="G13" i="6"/>
  <c r="F16" i="6"/>
  <c r="F19" i="6"/>
  <c r="F13" i="6"/>
  <c r="E14" i="6"/>
  <c r="E17" i="6"/>
  <c r="E20" i="6"/>
  <c r="E12" i="6"/>
  <c r="E15" i="6"/>
  <c r="E18" i="6"/>
  <c r="G20" i="6" l="1"/>
  <c r="H20" i="6"/>
  <c r="G14" i="6"/>
  <c r="H14" i="6"/>
  <c r="G18" i="6"/>
  <c r="H18" i="6"/>
  <c r="G15" i="6"/>
  <c r="H15" i="6"/>
  <c r="H12" i="6"/>
  <c r="G12" i="6"/>
  <c r="G17" i="6"/>
  <c r="H17" i="6"/>
  <c r="B18" i="4"/>
  <c r="B14" i="4"/>
  <c r="B13" i="4"/>
  <c r="F13" i="4" s="1"/>
  <c r="B12" i="4"/>
  <c r="B23" i="4"/>
  <c r="B20" i="4"/>
  <c r="B22" i="4"/>
  <c r="B16" i="4"/>
  <c r="B17" i="4"/>
  <c r="B19" i="4"/>
  <c r="E15" i="4"/>
  <c r="B24" i="4"/>
  <c r="H15" i="4" l="1"/>
  <c r="G15" i="4"/>
  <c r="E17" i="4"/>
  <c r="F17" i="4"/>
  <c r="E16" i="4"/>
  <c r="F16" i="4"/>
  <c r="E12" i="4"/>
  <c r="F12" i="4"/>
  <c r="E20" i="4"/>
  <c r="F20" i="4"/>
  <c r="E19" i="4"/>
  <c r="F19" i="4"/>
  <c r="E14" i="4"/>
  <c r="F14" i="4"/>
  <c r="E18" i="4"/>
  <c r="F18" i="4"/>
  <c r="E13" i="4"/>
  <c r="G14" i="4" l="1"/>
  <c r="H14" i="4"/>
  <c r="H13" i="4"/>
  <c r="G13" i="4"/>
  <c r="H16" i="4"/>
  <c r="G16" i="4"/>
  <c r="H19" i="4"/>
  <c r="G19" i="4"/>
  <c r="H20" i="4"/>
  <c r="G20" i="4"/>
  <c r="H12" i="4"/>
  <c r="G12" i="4"/>
  <c r="H18" i="4"/>
  <c r="G18" i="4"/>
  <c r="H17" i="4"/>
  <c r="G17" i="4"/>
</calcChain>
</file>

<file path=xl/sharedStrings.xml><?xml version="1.0" encoding="utf-8"?>
<sst xmlns="http://schemas.openxmlformats.org/spreadsheetml/2006/main" count="387" uniqueCount="219">
  <si>
    <t>MAKI &amp; RAMEN HOUSE</t>
  </si>
  <si>
    <t>Programación Lineal - Optimización de la producción diaria de Makis y Ramen</t>
  </si>
  <si>
    <t>Objetivo: maximizar los ingresos por ventas (S/) sujeto a la disponibilidad de insumos y tiempo</t>
  </si>
  <si>
    <t>1. DESCRIPCIÓN DEL PROBLEMA</t>
  </si>
  <si>
    <t>Un restaurante nikkei prepara 5 variedades de maki y 2 tipos de ramen. Cada producto consume insumos limitados (salsas, arroz, salmón, langostino, palta, queso crema, fideos) y tiempo de preparación diario. Se desea determinar cuántas unidades de cada producto preparar al día para MAXIMIZAR los ingresos por venta, respetando la disponibilidad de recursos y la demanda mínima de los productos de mayor rotación (Maki Acevichado, Maki Furai y Ramen Especial).</t>
  </si>
  <si>
    <t>2. MODELAMIENTO MATEMÁTICO</t>
  </si>
  <si>
    <t>CUADRO 1. VARIABLES DE DECISIÓN</t>
  </si>
  <si>
    <t>Variable</t>
  </si>
  <si>
    <t>Producto</t>
  </si>
  <si>
    <t>Descripción</t>
  </si>
  <si>
    <t>Unidad</t>
  </si>
  <si>
    <t>X1</t>
  </si>
  <si>
    <t>Maki Acevichado</t>
  </si>
  <si>
    <t>Cantidad a producir al día</t>
  </si>
  <si>
    <t>unidades/día</t>
  </si>
  <si>
    <t>X2</t>
  </si>
  <si>
    <t>Maki California</t>
  </si>
  <si>
    <t>X3</t>
  </si>
  <si>
    <t>Maki Furai</t>
  </si>
  <si>
    <t>X4</t>
  </si>
  <si>
    <t>Maki Salmón</t>
  </si>
  <si>
    <t>X5</t>
  </si>
  <si>
    <t>Maki Tokyo Roll</t>
  </si>
  <si>
    <t>X6</t>
  </si>
  <si>
    <t>Ramen Especial</t>
  </si>
  <si>
    <t>X7</t>
  </si>
  <si>
    <t>Ramen Clásico</t>
  </si>
  <si>
    <t>Con no negatividad:  X1, X2, X3, X4, X5, X6, X7  &gt;= 0</t>
  </si>
  <si>
    <t>CUADRO 2. FUNCIÓN OBJETIVO</t>
  </si>
  <si>
    <t>Maximizar  Z  =  ingresos diarios por venta (S/)</t>
  </si>
  <si>
    <t>Z = 22.X1 + 20.X2 + 28.X3 + 25.X4 + 25.X5 + 25.X6 + 15.X7</t>
  </si>
  <si>
    <t>Los coeficientes son los precios de venta de cada producto (S/ por unidad):</t>
  </si>
  <si>
    <t>Precio de venta (S/ por unidad)</t>
  </si>
  <si>
    <t>CUADRO 3. RESTRICCIONES</t>
  </si>
  <si>
    <t>N°</t>
  </si>
  <si>
    <t>Recurso</t>
  </si>
  <si>
    <t>Restricción (expresión matemática)</t>
  </si>
  <si>
    <t>Signo</t>
  </si>
  <si>
    <t>Disponible</t>
  </si>
  <si>
    <t>1</t>
  </si>
  <si>
    <t>Salsas (litros)</t>
  </si>
  <si>
    <t>0.08.X1 + 0.04.X2 + 0.06.X3 + 0.04.X4 + 0.07.X5</t>
  </si>
  <si>
    <t>2</t>
  </si>
  <si>
    <t>Arroz (gramos)</t>
  </si>
  <si>
    <t>250.(X1 + X2 + X3 + X4 + X5)</t>
  </si>
  <si>
    <t>3</t>
  </si>
  <si>
    <t>Salmón (porciones)</t>
  </si>
  <si>
    <t>X1 + X4 + X5</t>
  </si>
  <si>
    <t>4</t>
  </si>
  <si>
    <t>Langostino (porciones)</t>
  </si>
  <si>
    <t>3.(X1 + X2 + X3 + X4 + X5)</t>
  </si>
  <si>
    <t>5</t>
  </si>
  <si>
    <t>Palta (porciones)</t>
  </si>
  <si>
    <t>X1 + X3 + X5</t>
  </si>
  <si>
    <t>6</t>
  </si>
  <si>
    <t>Queso crema (porciones)</t>
  </si>
  <si>
    <t>X2 + X5</t>
  </si>
  <si>
    <t>7</t>
  </si>
  <si>
    <t>Fideos (unidades)</t>
  </si>
  <si>
    <t>X6 + X7</t>
  </si>
  <si>
    <t>8</t>
  </si>
  <si>
    <t>Tiempo de preparación (min)</t>
  </si>
  <si>
    <t>10.X1 + 10.X2 + 15.X3 + 10.X4 + 10.X5 + 13.X6 + 8.X7</t>
  </si>
  <si>
    <t>9</t>
  </si>
  <si>
    <t>Demanda mínima Maki Acevichado</t>
  </si>
  <si>
    <t>10</t>
  </si>
  <si>
    <t>Demanda mínima Maki Furai</t>
  </si>
  <si>
    <t>11</t>
  </si>
  <si>
    <t>Demanda mínima Ramen Especial</t>
  </si>
  <si>
    <t>12</t>
  </si>
  <si>
    <t>No negatividad de las variables</t>
  </si>
  <si>
    <t>X1, X2, X3, X4, X5, X6, X7</t>
  </si>
  <si>
    <t>VARIABLES</t>
  </si>
  <si>
    <t>Cant. Maki Acevichado (unid)</t>
  </si>
  <si>
    <t>Cant. Maki California (unid)</t>
  </si>
  <si>
    <t>Cant. Maki Furai (unid)</t>
  </si>
  <si>
    <t>Cant. Maki Salmón (unid)</t>
  </si>
  <si>
    <t>Cant. Maki Tokyo Roll (unid)</t>
  </si>
  <si>
    <t>Cant. Ramen Especial (unid)</t>
  </si>
  <si>
    <t>Cant. Ramen Clásico (unid)</t>
  </si>
  <si>
    <t>RESTRICCIONES</t>
  </si>
  <si>
    <t>Uso</t>
  </si>
  <si>
    <t>SIGNO</t>
  </si>
  <si>
    <t>% de uso</t>
  </si>
  <si>
    <t>Salsas (L)</t>
  </si>
  <si>
    <t>≤</t>
  </si>
  <si>
    <t>Fideos (unidad)</t>
  </si>
  <si>
    <t>Tiempo de Preparación (min)</t>
  </si>
  <si>
    <t>Demanda mínima maki acevichado (unid)</t>
  </si>
  <si>
    <t>≥</t>
  </si>
  <si>
    <t>Demanda mínima maki furai (unid)</t>
  </si>
  <si>
    <t>Demanda mínima ramen especial (unid)</t>
  </si>
  <si>
    <t>COEFICIENTES POR PORCIÓN</t>
  </si>
  <si>
    <t>Arroz (g)</t>
  </si>
  <si>
    <t>Langostino (u)</t>
  </si>
  <si>
    <t>Fideos (u)</t>
  </si>
  <si>
    <t>Tiempo (min)</t>
  </si>
  <si>
    <t>FUNCION OBJETIVO (S/)</t>
  </si>
  <si>
    <t>PRECIOS DE VENTA (S/ por porción)</t>
  </si>
  <si>
    <t>Precio Maki Acevichado</t>
  </si>
  <si>
    <t>Precio Maki California</t>
  </si>
  <si>
    <t>Precio Maki Furai</t>
  </si>
  <si>
    <t>Precio Maki Salmón</t>
  </si>
  <si>
    <t>Precio Maki Tokyo Roll</t>
  </si>
  <si>
    <t>Precio Ramen Especial</t>
  </si>
  <si>
    <t>Precio Ramen Clásico</t>
  </si>
  <si>
    <t>Salmón (porcion)</t>
  </si>
  <si>
    <t>Langostino (unidad)</t>
  </si>
  <si>
    <t>Cerdo (porcion)</t>
  </si>
  <si>
    <t>Palta (porcion)</t>
  </si>
  <si>
    <t>Queso crema (porcion)</t>
  </si>
  <si>
    <t>Interpretación</t>
  </si>
  <si>
    <t>El consumo de salsas no puede superar 10 litros.</t>
  </si>
  <si>
    <t>El arroz disponible limita la producción total de makis.</t>
  </si>
  <si>
    <t>El salmón disponible limita X1, X4 y X5.</t>
  </si>
  <si>
    <t>El langostino disponible limita la producción de makis.</t>
  </si>
  <si>
    <t>La palta disponible limita X1, X3 y X5.</t>
  </si>
  <si>
    <t>El queso crema disponible limita X2 y X5.</t>
  </si>
  <si>
    <t>Los fideos disponibles limitan X6 y X7.</t>
  </si>
  <si>
    <t>El tiempo diario disponible limita la mezcla completa.</t>
  </si>
  <si>
    <t>Se deben producir al menos 5 Maki Acevichado.</t>
  </si>
  <si>
    <t>Se deben producir al menos 5 Maki Furai.</t>
  </si>
  <si>
    <t>Se deben producir al menos 5 Ramen Especial.</t>
  </si>
  <si>
    <t>Ninguna variable puede tomar valores negativos.</t>
  </si>
  <si>
    <t>Cantidad (unid/día)</t>
  </si>
  <si>
    <t>SOLUCIÓN SOLVER - IA (MODELO VALIDADO)</t>
  </si>
  <si>
    <t>Estado</t>
  </si>
  <si>
    <t>Diagnóstico</t>
  </si>
  <si>
    <t>SOLUCIÓN EFICIENTE (ACUERDO COMERCIAL Y PRODUCCION)</t>
  </si>
  <si>
    <t>Justificacion</t>
  </si>
  <si>
    <t xml:space="preserve">Leyenda </t>
  </si>
  <si>
    <t>Si</t>
  </si>
  <si>
    <t>⚪ Bajo</t>
  </si>
  <si>
    <t>🟡 Medio</t>
  </si>
  <si>
    <t>🟢 Alto</t>
  </si>
  <si>
    <t>🔴 Crítico</t>
  </si>
  <si>
    <t xml:space="preserve"> X &lt; 50%</t>
  </si>
  <si>
    <t xml:space="preserve"> X ≥ 50%</t>
  </si>
  <si>
    <t xml:space="preserve"> X ≥ 80%</t>
  </si>
  <si>
    <t xml:space="preserve"> X ≥ 95%</t>
  </si>
  <si>
    <t>Min 3 prov</t>
  </si>
  <si>
    <t>Microsoft Excel 16.0 Sensitivity Report</t>
  </si>
  <si>
    <t>Worksheet: [InvOperativa_FINAL (1).xlsx]Eficaz</t>
  </si>
  <si>
    <t>Report Created: 24/09/2026 20:54:16</t>
  </si>
  <si>
    <t>Variable Cells</t>
  </si>
  <si>
    <t>Cell</t>
  </si>
  <si>
    <t>Name</t>
  </si>
  <si>
    <t>Final</t>
  </si>
  <si>
    <t>Value</t>
  </si>
  <si>
    <t>Reduced</t>
  </si>
  <si>
    <t>Cost</t>
  </si>
  <si>
    <t>Objective</t>
  </si>
  <si>
    <t>Coefficient</t>
  </si>
  <si>
    <t>Allowable</t>
  </si>
  <si>
    <t>Increase</t>
  </si>
  <si>
    <t>Decrease</t>
  </si>
  <si>
    <t>Constraints</t>
  </si>
  <si>
    <t>Shadow</t>
  </si>
  <si>
    <t>Price</t>
  </si>
  <si>
    <t>Constraint</t>
  </si>
  <si>
    <t>R.H. Side</t>
  </si>
  <si>
    <t>$B$3</t>
  </si>
  <si>
    <t>Cant. Maki Acevichado (unid) Cantidad (unid/día)</t>
  </si>
  <si>
    <t>$B$4</t>
  </si>
  <si>
    <t>Cant. Maki California (unid) Cantidad (unid/día)</t>
  </si>
  <si>
    <t>$B$5</t>
  </si>
  <si>
    <t>Cant. Maki Furai (unid) Cantidad (unid/día)</t>
  </si>
  <si>
    <t>$B$6</t>
  </si>
  <si>
    <t>Cant. Maki Salmón (unid) Cantidad (unid/día)</t>
  </si>
  <si>
    <t>$B$7</t>
  </si>
  <si>
    <t>Cant. Maki Tokyo Roll (unid) Cantidad (unid/día)</t>
  </si>
  <si>
    <t>$B$8</t>
  </si>
  <si>
    <t>Cant. Ramen Especial (unid) Cantidad (unid/día)</t>
  </si>
  <si>
    <t>$B$9</t>
  </si>
  <si>
    <t>Cant. Ramen Clásico (unid) Cantidad (unid/día)</t>
  </si>
  <si>
    <t>$B$12</t>
  </si>
  <si>
    <t>Salsas (L) Uso</t>
  </si>
  <si>
    <t>$B$13</t>
  </si>
  <si>
    <t>Arroz (gramos) Uso</t>
  </si>
  <si>
    <t>$B$14</t>
  </si>
  <si>
    <t>Salmón (porciones) Uso</t>
  </si>
  <si>
    <t>$B$15</t>
  </si>
  <si>
    <t>Langostino (unidad) Uso</t>
  </si>
  <si>
    <t>$B$16</t>
  </si>
  <si>
    <t>Fideos (unidad) Uso</t>
  </si>
  <si>
    <t>$B$17</t>
  </si>
  <si>
    <t>Palta (porcion) Uso</t>
  </si>
  <si>
    <t>$B$18</t>
  </si>
  <si>
    <t>Queso crema (porcion) Uso</t>
  </si>
  <si>
    <t>$B$19</t>
  </si>
  <si>
    <t>Cerdo (porcion) Uso</t>
  </si>
  <si>
    <t>$B$20</t>
  </si>
  <si>
    <t>Tiempo de Preparación (min) Uso</t>
  </si>
  <si>
    <t>$B$22</t>
  </si>
  <si>
    <t>Demanda mínima maki acevichado (unid) Uso</t>
  </si>
  <si>
    <t>$B$23</t>
  </si>
  <si>
    <t>Demanda mínima maki furai (unid) Uso</t>
  </si>
  <si>
    <t>$B$24</t>
  </si>
  <si>
    <t>Demanda mínima ramen especial (unid) Uso</t>
  </si>
  <si>
    <t>Min</t>
  </si>
  <si>
    <t>Max</t>
  </si>
  <si>
    <t>PROV 1 (MACRO)</t>
  </si>
  <si>
    <t>PROV 2 (METRO)</t>
  </si>
  <si>
    <t>PROV 3 (MAS)</t>
  </si>
  <si>
    <t>BIMESTRAL</t>
  </si>
  <si>
    <t>kg. Diarios</t>
  </si>
  <si>
    <t>kg. Mensuales</t>
  </si>
  <si>
    <t>COSTOS DE TRANSPORTE (20 sacos)</t>
  </si>
  <si>
    <t>LOCAL 2 (CHILCA) 5</t>
  </si>
  <si>
    <t>LOCAL 3 (GRAU) 7</t>
  </si>
  <si>
    <t>LOCAL 1 (El Tambo) 8</t>
  </si>
  <si>
    <t>Matriz de variable</t>
  </si>
  <si>
    <t>Min Z =</t>
  </si>
  <si>
    <t>=</t>
  </si>
  <si>
    <t>Sensibilidad</t>
  </si>
  <si>
    <t>Precio sombra</t>
  </si>
  <si>
    <t>Costo reducido</t>
  </si>
  <si>
    <t>dias</t>
  </si>
  <si>
    <t>Sacos por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</si>
</sst>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2"/>
      <name val="Calibri"/>
      <family val="2"/>
    </font>
    <font>
      <i/>
      <sz val="1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sz val="13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indexed="1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444444"/>
        <bgColor rgb="FF444444"/>
      </patternFill>
    </fill>
    <fill>
      <patternFill patternType="solid">
        <fgColor rgb="FF2E7D32"/>
        <bgColor rgb="FF2E7D32"/>
      </patternFill>
    </fill>
    <fill>
      <patternFill patternType="solid">
        <fgColor rgb="FF1B5E20"/>
        <bgColor rgb="FF1B5E20"/>
      </patternFill>
    </fill>
    <fill>
      <patternFill patternType="solid">
        <fgColor rgb="FF1565C0"/>
        <bgColor rgb="FF1565C0"/>
      </patternFill>
    </fill>
    <fill>
      <patternFill patternType="solid">
        <fgColor rgb="FFE3F2FD"/>
        <bgColor rgb="FFE3F2FD"/>
      </patternFill>
    </fill>
    <fill>
      <patternFill patternType="solid">
        <fgColor rgb="FF0D47A1"/>
        <bgColor rgb="FF0D47A1"/>
      </patternFill>
    </fill>
    <fill>
      <patternFill patternType="solid">
        <fgColor rgb="FFE65100"/>
        <bgColor rgb="FFE65100"/>
      </patternFill>
    </fill>
    <fill>
      <patternFill patternType="solid">
        <fgColor rgb="FFBF360C"/>
        <bgColor rgb="FFBF360C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rgb="FFFBE9E7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theme="8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/>
      <right/>
      <top style="thin">
        <color rgb="FF1565C0"/>
      </top>
      <bottom style="thin">
        <color rgb="FF1565C0"/>
      </bottom>
      <diagonal/>
    </border>
    <border>
      <left/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565C0"/>
      </left>
      <right/>
      <top style="thin">
        <color rgb="FF1565C0"/>
      </top>
      <bottom style="thin">
        <color rgb="FF1565C0"/>
      </bottom>
      <diagonal/>
    </border>
    <border>
      <left/>
      <right/>
      <top/>
      <bottom style="thin">
        <color rgb="FF1565C0"/>
      </bottom>
      <diagonal/>
    </border>
    <border>
      <left/>
      <right/>
      <top/>
      <bottom style="thin">
        <color rgb="FF777777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/>
      <diagonal/>
    </border>
    <border>
      <left style="thin">
        <color rgb="FFB7C9D6"/>
      </left>
      <right style="thin">
        <color indexed="64"/>
      </right>
      <top style="thin">
        <color rgb="FFB7C9D6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B7C9D6"/>
      </top>
      <bottom style="thin">
        <color indexed="64"/>
      </bottom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71">
    <xf numFmtId="0" fontId="0" fillId="0" borderId="0" xfId="0"/>
    <xf numFmtId="0" fontId="7" fillId="5" borderId="9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7" fillId="8" borderId="9" xfId="0" applyFont="1" applyFill="1" applyBorder="1"/>
    <xf numFmtId="0" fontId="7" fillId="10" borderId="9" xfId="0" applyFont="1" applyFill="1" applyBorder="1"/>
    <xf numFmtId="0" fontId="5" fillId="0" borderId="1" xfId="0" applyFont="1" applyBorder="1"/>
    <xf numFmtId="0" fontId="0" fillId="0" borderId="12" xfId="0" applyBorder="1"/>
    <xf numFmtId="0" fontId="0" fillId="11" borderId="12" xfId="0" applyFill="1" applyBorder="1"/>
    <xf numFmtId="0" fontId="0" fillId="12" borderId="12" xfId="0" applyFill="1" applyBorder="1" applyAlignment="1">
      <alignment horizontal="center" vertical="center"/>
    </xf>
    <xf numFmtId="9" fontId="0" fillId="13" borderId="12" xfId="1" applyFont="1" applyFill="1" applyBorder="1"/>
    <xf numFmtId="0" fontId="14" fillId="0" borderId="0" xfId="0" applyFont="1"/>
    <xf numFmtId="0" fontId="15" fillId="0" borderId="12" xfId="0" applyFont="1" applyBorder="1"/>
    <xf numFmtId="0" fontId="8" fillId="0" borderId="16" xfId="0" applyFont="1" applyBorder="1"/>
    <xf numFmtId="0" fontId="7" fillId="10" borderId="17" xfId="0" applyFont="1" applyFill="1" applyBorder="1"/>
    <xf numFmtId="0" fontId="8" fillId="14" borderId="1" xfId="0" applyFont="1" applyFill="1" applyBorder="1"/>
    <xf numFmtId="0" fontId="8" fillId="14" borderId="16" xfId="0" applyFont="1" applyFill="1" applyBorder="1"/>
    <xf numFmtId="0" fontId="0" fillId="15" borderId="12" xfId="0" applyFill="1" applyBorder="1"/>
    <xf numFmtId="0" fontId="16" fillId="17" borderId="12" xfId="0" applyFont="1" applyFill="1" applyBorder="1"/>
    <xf numFmtId="0" fontId="16" fillId="17" borderId="12" xfId="0" applyFont="1" applyFill="1" applyBorder="1" applyAlignment="1">
      <alignment horizontal="center" vertical="center"/>
    </xf>
    <xf numFmtId="0" fontId="16" fillId="17" borderId="0" xfId="0" applyFont="1" applyFill="1"/>
    <xf numFmtId="0" fontId="16" fillId="17" borderId="12" xfId="0" applyFont="1" applyFill="1" applyBorder="1" applyAlignment="1">
      <alignment horizontal="center"/>
    </xf>
    <xf numFmtId="0" fontId="0" fillId="0" borderId="22" xfId="0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11" borderId="22" xfId="0" applyFill="1" applyBorder="1"/>
    <xf numFmtId="0" fontId="0" fillId="15" borderId="12" xfId="0" applyFill="1" applyBorder="1" applyAlignment="1">
      <alignment horizontal="center" vertical="center"/>
    </xf>
    <xf numFmtId="9" fontId="0" fillId="15" borderId="12" xfId="1" applyFont="1" applyFill="1" applyBorder="1"/>
    <xf numFmtId="0" fontId="0" fillId="15" borderId="22" xfId="0" applyFill="1" applyBorder="1"/>
    <xf numFmtId="0" fontId="0" fillId="15" borderId="12" xfId="0" applyFill="1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18" fillId="0" borderId="24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4" fillId="0" borderId="12" xfId="0" applyFont="1" applyBorder="1"/>
    <xf numFmtId="0" fontId="14" fillId="0" borderId="22" xfId="0" applyFont="1" applyBorder="1"/>
    <xf numFmtId="0" fontId="14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/>
    <xf numFmtId="0" fontId="12" fillId="7" borderId="13" xfId="0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6" fillId="9" borderId="1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6" fillId="4" borderId="0" xfId="0" applyFont="1" applyFill="1"/>
    <xf numFmtId="0" fontId="5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16" borderId="18" xfId="0" applyFont="1" applyFill="1" applyBorder="1" applyAlignment="1">
      <alignment horizontal="center" vertical="center"/>
    </xf>
    <xf numFmtId="0" fontId="17" fillId="16" borderId="19" xfId="0" applyFont="1" applyFill="1" applyBorder="1" applyAlignment="1">
      <alignment horizontal="center" vertical="center"/>
    </xf>
    <xf numFmtId="0" fontId="17" fillId="16" borderId="20" xfId="0" applyFont="1" applyFill="1" applyBorder="1" applyAlignment="1">
      <alignment horizontal="center" vertical="center"/>
    </xf>
    <xf numFmtId="0" fontId="17" fillId="16" borderId="21" xfId="0" applyFont="1" applyFill="1" applyBorder="1" applyAlignment="1">
      <alignment horizontal="center" vertical="center"/>
    </xf>
    <xf numFmtId="0" fontId="16" fillId="17" borderId="22" xfId="0" applyFont="1" applyFill="1" applyBorder="1" applyAlignment="1">
      <alignment horizontal="center"/>
    </xf>
    <xf numFmtId="0" fontId="16" fillId="17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11" borderId="0" xfId="0" applyFill="1"/>
    <xf numFmtId="0" fontId="14" fillId="0" borderId="12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opLeftCell="A15" workbookViewId="0">
      <selection activeCell="C38" sqref="C38"/>
    </sheetView>
  </sheetViews>
  <sheetFormatPr defaultColWidth="9.140625" defaultRowHeight="15" x14ac:dyDescent="0.25"/>
  <cols>
    <col min="1" max="1" width="15.85546875" bestFit="1" customWidth="1"/>
    <col min="2" max="2" width="32.28515625" customWidth="1"/>
    <col min="3" max="3" width="45" bestFit="1" customWidth="1"/>
    <col min="4" max="4" width="12.5703125" bestFit="1" customWidth="1"/>
    <col min="5" max="5" width="10.5703125" customWidth="1"/>
    <col min="6" max="6" width="51" customWidth="1"/>
  </cols>
  <sheetData>
    <row r="1" spans="1:6" x14ac:dyDescent="0.25">
      <c r="A1" s="47" t="s">
        <v>0</v>
      </c>
      <c r="B1" s="39"/>
      <c r="C1" s="39"/>
      <c r="D1" s="39"/>
      <c r="E1" s="39"/>
      <c r="F1" s="39"/>
    </row>
    <row r="2" spans="1:6" x14ac:dyDescent="0.25">
      <c r="A2" s="39"/>
      <c r="B2" s="39"/>
      <c r="C2" s="39"/>
      <c r="D2" s="39"/>
      <c r="E2" s="39"/>
      <c r="F2" s="39"/>
    </row>
    <row r="3" spans="1:6" ht="15.75" x14ac:dyDescent="0.25">
      <c r="A3" s="58" t="s">
        <v>1</v>
      </c>
      <c r="B3" s="39"/>
      <c r="C3" s="39"/>
      <c r="D3" s="39"/>
      <c r="E3" s="39"/>
      <c r="F3" s="39"/>
    </row>
    <row r="4" spans="1:6" x14ac:dyDescent="0.25">
      <c r="A4" s="57" t="s">
        <v>2</v>
      </c>
      <c r="B4" s="39"/>
      <c r="C4" s="39"/>
      <c r="D4" s="39"/>
      <c r="E4" s="39"/>
      <c r="F4" s="39"/>
    </row>
    <row r="6" spans="1:6" ht="18.75" x14ac:dyDescent="0.25">
      <c r="A6" s="44" t="s">
        <v>3</v>
      </c>
      <c r="B6" s="39"/>
      <c r="C6" s="39"/>
      <c r="D6" s="39"/>
      <c r="E6" s="39"/>
      <c r="F6" s="39"/>
    </row>
    <row r="7" spans="1:6" x14ac:dyDescent="0.25">
      <c r="A7" s="49" t="s">
        <v>4</v>
      </c>
      <c r="B7" s="50"/>
      <c r="C7" s="50"/>
      <c r="D7" s="50"/>
      <c r="E7" s="50"/>
      <c r="F7" s="51"/>
    </row>
    <row r="8" spans="1:6" x14ac:dyDescent="0.25">
      <c r="A8" s="52"/>
      <c r="B8" s="39"/>
      <c r="C8" s="39"/>
      <c r="D8" s="39"/>
      <c r="E8" s="39"/>
      <c r="F8" s="53"/>
    </row>
    <row r="9" spans="1:6" x14ac:dyDescent="0.25">
      <c r="A9" s="54"/>
      <c r="B9" s="55"/>
      <c r="C9" s="55"/>
      <c r="D9" s="55"/>
      <c r="E9" s="55"/>
      <c r="F9" s="56"/>
    </row>
    <row r="13" spans="1:6" ht="18.75" x14ac:dyDescent="0.25">
      <c r="A13" s="44" t="s">
        <v>5</v>
      </c>
      <c r="B13" s="39"/>
      <c r="C13" s="39"/>
      <c r="D13" s="39"/>
      <c r="E13" s="39"/>
      <c r="F13" s="39"/>
    </row>
    <row r="15" spans="1:6" ht="15.75" x14ac:dyDescent="0.25">
      <c r="A15" s="48" t="s">
        <v>6</v>
      </c>
      <c r="B15" s="48"/>
      <c r="C15" s="48"/>
      <c r="D15" s="48"/>
    </row>
    <row r="16" spans="1:6" x14ac:dyDescent="0.25">
      <c r="A16" s="1" t="s">
        <v>7</v>
      </c>
      <c r="B16" s="1" t="s">
        <v>8</v>
      </c>
      <c r="C16" s="1" t="s">
        <v>9</v>
      </c>
      <c r="D16" s="1" t="s">
        <v>10</v>
      </c>
    </row>
    <row r="17" spans="1:5" x14ac:dyDescent="0.25">
      <c r="A17" s="3" t="s">
        <v>11</v>
      </c>
      <c r="B17" s="3" t="s">
        <v>12</v>
      </c>
      <c r="C17" s="2" t="s">
        <v>13</v>
      </c>
      <c r="D17" s="2" t="s">
        <v>14</v>
      </c>
    </row>
    <row r="18" spans="1:5" x14ac:dyDescent="0.25">
      <c r="A18" s="3" t="s">
        <v>15</v>
      </c>
      <c r="B18" s="3" t="s">
        <v>16</v>
      </c>
      <c r="C18" s="2" t="s">
        <v>13</v>
      </c>
      <c r="D18" s="2" t="s">
        <v>14</v>
      </c>
    </row>
    <row r="19" spans="1:5" x14ac:dyDescent="0.25">
      <c r="A19" s="3" t="s">
        <v>17</v>
      </c>
      <c r="B19" s="3" t="s">
        <v>18</v>
      </c>
      <c r="C19" s="2" t="s">
        <v>13</v>
      </c>
      <c r="D19" s="2" t="s">
        <v>14</v>
      </c>
    </row>
    <row r="20" spans="1:5" x14ac:dyDescent="0.25">
      <c r="A20" s="3" t="s">
        <v>19</v>
      </c>
      <c r="B20" s="3" t="s">
        <v>20</v>
      </c>
      <c r="C20" s="2" t="s">
        <v>13</v>
      </c>
      <c r="D20" s="2" t="s">
        <v>14</v>
      </c>
    </row>
    <row r="21" spans="1:5" x14ac:dyDescent="0.25">
      <c r="A21" s="3" t="s">
        <v>21</v>
      </c>
      <c r="B21" s="3" t="s">
        <v>22</v>
      </c>
      <c r="C21" s="2" t="s">
        <v>13</v>
      </c>
      <c r="D21" s="2" t="s">
        <v>14</v>
      </c>
    </row>
    <row r="22" spans="1:5" x14ac:dyDescent="0.25">
      <c r="A22" s="3" t="s">
        <v>23</v>
      </c>
      <c r="B22" s="3" t="s">
        <v>24</v>
      </c>
      <c r="C22" s="2" t="s">
        <v>13</v>
      </c>
      <c r="D22" s="2" t="s">
        <v>14</v>
      </c>
    </row>
    <row r="23" spans="1:5" x14ac:dyDescent="0.25">
      <c r="A23" s="3" t="s">
        <v>25</v>
      </c>
      <c r="B23" s="3" t="s">
        <v>26</v>
      </c>
      <c r="C23" s="2" t="s">
        <v>13</v>
      </c>
      <c r="D23" s="2" t="s">
        <v>14</v>
      </c>
    </row>
    <row r="24" spans="1:5" x14ac:dyDescent="0.25">
      <c r="A24" s="38" t="s">
        <v>27</v>
      </c>
      <c r="B24" s="39"/>
      <c r="C24" s="39"/>
      <c r="D24" s="39"/>
    </row>
    <row r="27" spans="1:5" ht="15.75" x14ac:dyDescent="0.25">
      <c r="A27" s="46" t="s">
        <v>28</v>
      </c>
      <c r="B27" s="46"/>
      <c r="C27" s="46"/>
      <c r="D27" s="46"/>
      <c r="E27" s="46"/>
    </row>
    <row r="28" spans="1:5" ht="15.75" x14ac:dyDescent="0.25">
      <c r="A28" s="45" t="s">
        <v>29</v>
      </c>
      <c r="B28" s="45"/>
      <c r="C28" s="45"/>
      <c r="D28" s="45"/>
      <c r="E28" s="45"/>
    </row>
    <row r="29" spans="1:5" ht="17.25" x14ac:dyDescent="0.25">
      <c r="A29" s="40" t="s">
        <v>30</v>
      </c>
      <c r="B29" s="41"/>
      <c r="C29" s="41"/>
      <c r="D29" s="41"/>
      <c r="E29" s="42"/>
    </row>
    <row r="30" spans="1:5" x14ac:dyDescent="0.25">
      <c r="A30" s="38" t="s">
        <v>31</v>
      </c>
      <c r="B30" s="39"/>
      <c r="C30" s="39"/>
      <c r="D30" s="39"/>
      <c r="E30" s="39"/>
    </row>
    <row r="32" spans="1:5" x14ac:dyDescent="0.25">
      <c r="A32" s="4" t="s">
        <v>8</v>
      </c>
      <c r="B32" s="4" t="s">
        <v>7</v>
      </c>
      <c r="C32" s="4" t="s">
        <v>32</v>
      </c>
    </row>
    <row r="33" spans="1:6" x14ac:dyDescent="0.25">
      <c r="A33" s="2" t="s">
        <v>12</v>
      </c>
      <c r="B33" s="2" t="s">
        <v>11</v>
      </c>
      <c r="C33" s="2">
        <v>22</v>
      </c>
    </row>
    <row r="34" spans="1:6" x14ac:dyDescent="0.25">
      <c r="A34" s="2" t="s">
        <v>16</v>
      </c>
      <c r="B34" s="2" t="s">
        <v>15</v>
      </c>
      <c r="C34" s="2">
        <v>20</v>
      </c>
    </row>
    <row r="35" spans="1:6" x14ac:dyDescent="0.25">
      <c r="A35" s="2" t="s">
        <v>18</v>
      </c>
      <c r="B35" s="2" t="s">
        <v>17</v>
      </c>
      <c r="C35" s="2">
        <v>28</v>
      </c>
    </row>
    <row r="36" spans="1:6" x14ac:dyDescent="0.25">
      <c r="A36" s="2" t="s">
        <v>20</v>
      </c>
      <c r="B36" s="2" t="s">
        <v>19</v>
      </c>
      <c r="C36" s="2">
        <v>25</v>
      </c>
    </row>
    <row r="37" spans="1:6" x14ac:dyDescent="0.25">
      <c r="A37" s="2" t="s">
        <v>22</v>
      </c>
      <c r="B37" s="2" t="s">
        <v>21</v>
      </c>
      <c r="C37" s="2">
        <v>25</v>
      </c>
    </row>
    <row r="38" spans="1:6" x14ac:dyDescent="0.25">
      <c r="A38" s="2" t="s">
        <v>24</v>
      </c>
      <c r="B38" s="2" t="s">
        <v>23</v>
      </c>
      <c r="C38" s="2">
        <v>25</v>
      </c>
    </row>
    <row r="39" spans="1:6" x14ac:dyDescent="0.25">
      <c r="A39" s="2" t="s">
        <v>26</v>
      </c>
      <c r="B39" s="2" t="s">
        <v>25</v>
      </c>
      <c r="C39" s="2">
        <v>15</v>
      </c>
    </row>
    <row r="41" spans="1:6" ht="15.75" x14ac:dyDescent="0.25">
      <c r="A41" s="43" t="s">
        <v>33</v>
      </c>
      <c r="B41" s="43"/>
      <c r="C41" s="43"/>
      <c r="D41" s="43"/>
      <c r="E41" s="43"/>
      <c r="F41" s="43"/>
    </row>
    <row r="42" spans="1:6" x14ac:dyDescent="0.25">
      <c r="A42" s="5" t="s">
        <v>34</v>
      </c>
      <c r="B42" s="5" t="s">
        <v>35</v>
      </c>
      <c r="C42" s="5" t="s">
        <v>36</v>
      </c>
      <c r="D42" s="5" t="s">
        <v>37</v>
      </c>
      <c r="E42" s="5" t="s">
        <v>38</v>
      </c>
      <c r="F42" s="14" t="s">
        <v>111</v>
      </c>
    </row>
    <row r="43" spans="1:6" x14ac:dyDescent="0.25">
      <c r="A43" s="2" t="s">
        <v>39</v>
      </c>
      <c r="B43" s="2" t="s">
        <v>40</v>
      </c>
      <c r="C43" s="2" t="s">
        <v>41</v>
      </c>
      <c r="D43" s="2" t="s">
        <v>85</v>
      </c>
      <c r="E43" s="13">
        <v>10</v>
      </c>
      <c r="F43" s="7" t="s">
        <v>112</v>
      </c>
    </row>
    <row r="44" spans="1:6" x14ac:dyDescent="0.25">
      <c r="A44" s="2" t="s">
        <v>42</v>
      </c>
      <c r="B44" s="2" t="s">
        <v>43</v>
      </c>
      <c r="C44" s="2" t="s">
        <v>44</v>
      </c>
      <c r="D44" s="2" t="s">
        <v>85</v>
      </c>
      <c r="E44" s="13">
        <v>5500</v>
      </c>
      <c r="F44" s="7" t="s">
        <v>113</v>
      </c>
    </row>
    <row r="45" spans="1:6" x14ac:dyDescent="0.25">
      <c r="A45" s="2" t="s">
        <v>45</v>
      </c>
      <c r="B45" s="2" t="s">
        <v>46</v>
      </c>
      <c r="C45" s="2" t="s">
        <v>47</v>
      </c>
      <c r="D45" s="2" t="s">
        <v>85</v>
      </c>
      <c r="E45" s="13">
        <v>30</v>
      </c>
      <c r="F45" s="7" t="s">
        <v>114</v>
      </c>
    </row>
    <row r="46" spans="1:6" x14ac:dyDescent="0.25">
      <c r="A46" s="2" t="s">
        <v>48</v>
      </c>
      <c r="B46" s="2" t="s">
        <v>49</v>
      </c>
      <c r="C46" s="2" t="s">
        <v>50</v>
      </c>
      <c r="D46" s="2" t="s">
        <v>85</v>
      </c>
      <c r="E46" s="13">
        <v>70</v>
      </c>
      <c r="F46" s="7" t="s">
        <v>115</v>
      </c>
    </row>
    <row r="47" spans="1:6" x14ac:dyDescent="0.25">
      <c r="A47" s="2" t="s">
        <v>51</v>
      </c>
      <c r="B47" s="2" t="s">
        <v>52</v>
      </c>
      <c r="C47" s="2" t="s">
        <v>53</v>
      </c>
      <c r="D47" s="2" t="s">
        <v>85</v>
      </c>
      <c r="E47" s="13">
        <v>90</v>
      </c>
      <c r="F47" s="7" t="s">
        <v>116</v>
      </c>
    </row>
    <row r="48" spans="1:6" x14ac:dyDescent="0.25">
      <c r="A48" s="2" t="s">
        <v>54</v>
      </c>
      <c r="B48" s="2" t="s">
        <v>55</v>
      </c>
      <c r="C48" s="2" t="s">
        <v>56</v>
      </c>
      <c r="D48" s="2" t="s">
        <v>85</v>
      </c>
      <c r="E48" s="13">
        <v>60</v>
      </c>
      <c r="F48" s="7" t="s">
        <v>117</v>
      </c>
    </row>
    <row r="49" spans="1:6" x14ac:dyDescent="0.25">
      <c r="A49" s="2" t="s">
        <v>57</v>
      </c>
      <c r="B49" s="2" t="s">
        <v>58</v>
      </c>
      <c r="C49" s="2" t="s">
        <v>59</v>
      </c>
      <c r="D49" s="2" t="s">
        <v>85</v>
      </c>
      <c r="E49" s="13">
        <v>30</v>
      </c>
      <c r="F49" s="7" t="s">
        <v>118</v>
      </c>
    </row>
    <row r="50" spans="1:6" x14ac:dyDescent="0.25">
      <c r="A50" s="2" t="s">
        <v>60</v>
      </c>
      <c r="B50" s="6" t="s">
        <v>61</v>
      </c>
      <c r="C50" s="2" t="s">
        <v>62</v>
      </c>
      <c r="D50" s="2" t="s">
        <v>85</v>
      </c>
      <c r="E50" s="13">
        <v>400</v>
      </c>
      <c r="F50" s="7" t="s">
        <v>119</v>
      </c>
    </row>
    <row r="51" spans="1:6" x14ac:dyDescent="0.25">
      <c r="A51" s="15" t="s">
        <v>63</v>
      </c>
      <c r="B51" s="15" t="s">
        <v>64</v>
      </c>
      <c r="C51" s="15" t="s">
        <v>11</v>
      </c>
      <c r="D51" s="15" t="s">
        <v>89</v>
      </c>
      <c r="E51" s="16">
        <v>5</v>
      </c>
      <c r="F51" s="17" t="s">
        <v>120</v>
      </c>
    </row>
    <row r="52" spans="1:6" x14ac:dyDescent="0.25">
      <c r="A52" s="15" t="s">
        <v>65</v>
      </c>
      <c r="B52" s="15" t="s">
        <v>66</v>
      </c>
      <c r="C52" s="15" t="s">
        <v>17</v>
      </c>
      <c r="D52" s="15" t="s">
        <v>89</v>
      </c>
      <c r="E52" s="16">
        <v>5</v>
      </c>
      <c r="F52" s="17" t="s">
        <v>121</v>
      </c>
    </row>
    <row r="53" spans="1:6" x14ac:dyDescent="0.25">
      <c r="A53" s="15" t="s">
        <v>67</v>
      </c>
      <c r="B53" s="15" t="s">
        <v>68</v>
      </c>
      <c r="C53" s="15" t="s">
        <v>23</v>
      </c>
      <c r="D53" s="15" t="s">
        <v>89</v>
      </c>
      <c r="E53" s="16">
        <v>5</v>
      </c>
      <c r="F53" s="17" t="s">
        <v>122</v>
      </c>
    </row>
    <row r="54" spans="1:6" x14ac:dyDescent="0.25">
      <c r="A54" s="15" t="s">
        <v>69</v>
      </c>
      <c r="B54" s="15" t="s">
        <v>70</v>
      </c>
      <c r="C54" s="15" t="s">
        <v>71</v>
      </c>
      <c r="D54" s="15" t="s">
        <v>89</v>
      </c>
      <c r="E54" s="16">
        <v>0</v>
      </c>
      <c r="F54" s="17" t="s">
        <v>123</v>
      </c>
    </row>
  </sheetData>
  <mergeCells count="13">
    <mergeCell ref="A1:F2"/>
    <mergeCell ref="A15:D15"/>
    <mergeCell ref="A6:F6"/>
    <mergeCell ref="A7:F9"/>
    <mergeCell ref="A24:D24"/>
    <mergeCell ref="A4:F4"/>
    <mergeCell ref="A3:F3"/>
    <mergeCell ref="A30:E30"/>
    <mergeCell ref="A29:E29"/>
    <mergeCell ref="A41:F41"/>
    <mergeCell ref="A13:F13"/>
    <mergeCell ref="A28:E28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C57A6-28AD-46AF-A90E-A1548ECDF365}">
  <dimension ref="A1:J45"/>
  <sheetViews>
    <sheetView zoomScale="130" zoomScaleNormal="130" workbookViewId="0">
      <selection activeCell="B13" sqref="B13:G13"/>
    </sheetView>
  </sheetViews>
  <sheetFormatPr defaultColWidth="11.42578125" defaultRowHeight="15" x14ac:dyDescent="0.25"/>
  <cols>
    <col min="1" max="1" width="38" bestFit="1" customWidth="1"/>
    <col min="2" max="2" width="18.28515625" customWidth="1"/>
    <col min="4" max="4" width="16.28515625" bestFit="1" customWidth="1"/>
    <col min="5" max="5" width="13.5703125" bestFit="1" customWidth="1"/>
    <col min="6" max="6" width="16.140625" customWidth="1"/>
    <col min="7" max="7" width="18.28515625" customWidth="1"/>
    <col min="8" max="8" width="21.5703125" bestFit="1" customWidth="1"/>
    <col min="9" max="9" width="15.5703125" customWidth="1"/>
    <col min="10" max="10" width="14.42578125" customWidth="1"/>
  </cols>
  <sheetData>
    <row r="1" spans="1:10" ht="18" x14ac:dyDescent="0.25">
      <c r="A1" s="59" t="s">
        <v>125</v>
      </c>
      <c r="B1" s="60"/>
      <c r="C1" s="61"/>
      <c r="D1" s="61"/>
      <c r="E1" s="61"/>
      <c r="F1" s="61"/>
      <c r="G1" s="61"/>
      <c r="H1" s="61"/>
      <c r="I1" s="61"/>
      <c r="J1" s="62"/>
    </row>
    <row r="2" spans="1:10" x14ac:dyDescent="0.25">
      <c r="A2" s="18" t="s">
        <v>72</v>
      </c>
      <c r="B2" s="18" t="s">
        <v>124</v>
      </c>
    </row>
    <row r="3" spans="1:10" x14ac:dyDescent="0.25">
      <c r="A3" s="7" t="s">
        <v>73</v>
      </c>
      <c r="B3" s="8">
        <v>5</v>
      </c>
    </row>
    <row r="4" spans="1:10" x14ac:dyDescent="0.25">
      <c r="A4" s="7" t="s">
        <v>74</v>
      </c>
      <c r="B4" s="8">
        <v>0</v>
      </c>
    </row>
    <row r="5" spans="1:10" x14ac:dyDescent="0.25">
      <c r="A5" s="7" t="s">
        <v>75</v>
      </c>
      <c r="B5" s="8">
        <v>5</v>
      </c>
      <c r="F5" s="18" t="s">
        <v>130</v>
      </c>
      <c r="G5" s="19" t="s">
        <v>131</v>
      </c>
    </row>
    <row r="6" spans="1:10" x14ac:dyDescent="0.25">
      <c r="A6" s="7" t="s">
        <v>76</v>
      </c>
      <c r="B6" s="8">
        <v>12</v>
      </c>
      <c r="F6" s="7" t="s">
        <v>132</v>
      </c>
      <c r="G6" s="24" t="s">
        <v>136</v>
      </c>
    </row>
    <row r="7" spans="1:10" x14ac:dyDescent="0.25">
      <c r="A7" s="7" t="s">
        <v>77</v>
      </c>
      <c r="B7" s="8">
        <v>0</v>
      </c>
      <c r="F7" s="7" t="s">
        <v>133</v>
      </c>
      <c r="G7" s="24" t="s">
        <v>137</v>
      </c>
    </row>
    <row r="8" spans="1:10" x14ac:dyDescent="0.25">
      <c r="A8" s="7" t="s">
        <v>78</v>
      </c>
      <c r="B8" s="8">
        <v>15.4</v>
      </c>
      <c r="F8" s="7" t="s">
        <v>134</v>
      </c>
      <c r="G8" s="24" t="s">
        <v>138</v>
      </c>
    </row>
    <row r="9" spans="1:10" x14ac:dyDescent="0.25">
      <c r="A9" s="7" t="s">
        <v>79</v>
      </c>
      <c r="B9" s="8">
        <v>0</v>
      </c>
      <c r="F9" s="7" t="s">
        <v>135</v>
      </c>
      <c r="G9" s="24" t="s">
        <v>139</v>
      </c>
    </row>
    <row r="11" spans="1:10" x14ac:dyDescent="0.25">
      <c r="A11" s="18" t="s">
        <v>80</v>
      </c>
      <c r="B11" s="19" t="s">
        <v>81</v>
      </c>
      <c r="C11" s="19" t="s">
        <v>82</v>
      </c>
      <c r="D11" s="19" t="s">
        <v>38</v>
      </c>
      <c r="E11" s="18" t="s">
        <v>83</v>
      </c>
      <c r="F11" s="20" t="s">
        <v>126</v>
      </c>
      <c r="G11" s="20" t="s">
        <v>127</v>
      </c>
      <c r="H11" s="21" t="s">
        <v>129</v>
      </c>
    </row>
    <row r="12" spans="1:10" x14ac:dyDescent="0.25">
      <c r="A12" s="7" t="s">
        <v>84</v>
      </c>
      <c r="B12" s="9">
        <f>SUMPRODUCT(B$28:B$34,$B$3:$B$9)</f>
        <v>1.18</v>
      </c>
      <c r="C12" s="9" t="s">
        <v>85</v>
      </c>
      <c r="D12" s="9">
        <v>3</v>
      </c>
      <c r="E12" s="10">
        <f>B12/D12</f>
        <v>0.39333333333333331</v>
      </c>
      <c r="F12" s="7" t="str">
        <f>IF(B12&lt;=D12,"✓ OK","✗ EXCEDE")</f>
        <v>✓ OK</v>
      </c>
      <c r="G12" s="22" t="str">
        <f>IF(E12="","",IF(E12&gt;=0.95,"🔴 Crítico",IF(E12&gt;=0.8,"🟢 Alto",IF(E12&gt;=0.5,"🟡 Medio","⚪ Bajo"))))</f>
        <v>⚪ Bajo</v>
      </c>
      <c r="H12" s="23" t="str">
        <f>IF(E12="","",IF(E12&gt;=0.95,"Recomienda aumentar",IF(E12&gt;=0.8,"Revisar",IF(E12&gt;=0.5,"Mantener","Se recomienda reducir"))))</f>
        <v>Se recomienda reducir</v>
      </c>
    </row>
    <row r="13" spans="1:10" x14ac:dyDescent="0.25">
      <c r="A13" s="17" t="s">
        <v>43</v>
      </c>
      <c r="B13" s="26">
        <f>SUMPRODUCT(C$28:C$34,$B$3:$B$9)</f>
        <v>5500</v>
      </c>
      <c r="C13" s="26" t="s">
        <v>85</v>
      </c>
      <c r="D13" s="26">
        <v>5500</v>
      </c>
      <c r="E13" s="27">
        <f>B13/D13</f>
        <v>1</v>
      </c>
      <c r="F13" s="17" t="str">
        <f>IF(B13&lt;=D13,"✓ OK","✗ EXCEDE")</f>
        <v>✓ OK</v>
      </c>
      <c r="G13" s="28" t="str">
        <f>IF(E13="","",IF(E13&gt;=0.95,"🔴 Crítico",IF(E13&gt;=0.8,"🟢 Alto",IF(E13&gt;=0.5,"🟡 Medio","⚪ Bajo"))))</f>
        <v>🔴 Crítico</v>
      </c>
      <c r="H13" s="29" t="str">
        <f>IF(E13="","",IF(E13&gt;=0.95,"Recomienda aumentar",IF(E13&gt;=0.8,"Revisar",IF(E13&gt;=0.5,"Mantener","Se recomienda reducir"))))</f>
        <v>Recomienda aumentar</v>
      </c>
      <c r="J13" t="s">
        <v>140</v>
      </c>
    </row>
    <row r="14" spans="1:10" x14ac:dyDescent="0.25">
      <c r="A14" s="7" t="s">
        <v>46</v>
      </c>
      <c r="B14" s="9">
        <f>SUMPRODUCT(D$28:D$34,$B$3:$B$9)</f>
        <v>17</v>
      </c>
      <c r="C14" s="9" t="s">
        <v>85</v>
      </c>
      <c r="D14" s="9">
        <v>30</v>
      </c>
      <c r="E14" s="10">
        <f t="shared" ref="E14:E16" si="0">B14/D14</f>
        <v>0.56666666666666665</v>
      </c>
      <c r="F14" s="7" t="str">
        <f t="shared" ref="F14:F20" si="1">IF(B14&lt;=D14,"✓ OK","✗ EXCEDE")</f>
        <v>✓ OK</v>
      </c>
      <c r="G14" s="22" t="str">
        <f t="shared" ref="G14:G20" si="2">IF(E14="","",IF(E14&gt;=0.95,"🔴 Crítico",IF(E14&gt;=0.8,"🟢 Alto",IF(E14&gt;=0.5,"🟡 Medio","⚪ Bajo"))))</f>
        <v>🟡 Medio</v>
      </c>
      <c r="H14" s="23" t="str">
        <f t="shared" ref="H14:H20" si="3">IF(E14="","",IF(E14&gt;=0.95,"Recomienda aumentar",IF(E14&gt;=0.8,"Revisar",IF(E14&gt;=0.5,"Mantener","Se recomienda reducir"))))</f>
        <v>Mantener</v>
      </c>
    </row>
    <row r="15" spans="1:10" x14ac:dyDescent="0.25">
      <c r="A15" s="7" t="s">
        <v>107</v>
      </c>
      <c r="B15" s="9">
        <f>SUMPRODUCT(E$28:E$34,$B$3:$B$9)</f>
        <v>66</v>
      </c>
      <c r="C15" s="9" t="s">
        <v>85</v>
      </c>
      <c r="D15" s="9">
        <v>70</v>
      </c>
      <c r="E15" s="10">
        <f t="shared" si="0"/>
        <v>0.94285714285714284</v>
      </c>
      <c r="F15" s="7" t="str">
        <f t="shared" si="1"/>
        <v>✓ OK</v>
      </c>
      <c r="G15" s="25" t="str">
        <f>IF(E15="","",IF(E15&gt;=0.95,"🔴 Crítico",IF(E15&gt;=0.8,"🟢 Alto",IF(E15&gt;=0.5,"🟡 Medio","⚪ Bajo"))))</f>
        <v>🟢 Alto</v>
      </c>
      <c r="H15" s="23" t="str">
        <f t="shared" si="3"/>
        <v>Revisar</v>
      </c>
    </row>
    <row r="16" spans="1:10" x14ac:dyDescent="0.25">
      <c r="A16" s="7" t="s">
        <v>86</v>
      </c>
      <c r="B16" s="9">
        <f>SUMPRODUCT(F$28:F$34,$B$3:$B$9)</f>
        <v>15.4</v>
      </c>
      <c r="C16" s="9" t="s">
        <v>85</v>
      </c>
      <c r="D16" s="9">
        <v>30</v>
      </c>
      <c r="E16" s="10">
        <f t="shared" si="0"/>
        <v>0.51333333333333331</v>
      </c>
      <c r="F16" s="7" t="str">
        <f t="shared" si="1"/>
        <v>✓ OK</v>
      </c>
      <c r="G16" s="22" t="str">
        <f t="shared" si="2"/>
        <v>🟡 Medio</v>
      </c>
      <c r="H16" s="23" t="str">
        <f t="shared" si="3"/>
        <v>Mantener</v>
      </c>
    </row>
    <row r="17" spans="1:10" x14ac:dyDescent="0.25">
      <c r="A17" s="7" t="s">
        <v>109</v>
      </c>
      <c r="B17" s="9">
        <f>SUMPRODUCT(G$28:G$34,$B$3:$B$9)</f>
        <v>66</v>
      </c>
      <c r="C17" s="9" t="s">
        <v>85</v>
      </c>
      <c r="D17" s="9">
        <v>100</v>
      </c>
      <c r="E17" s="10">
        <f>B17/D17</f>
        <v>0.66</v>
      </c>
      <c r="F17" s="7" t="str">
        <f t="shared" si="1"/>
        <v>✓ OK</v>
      </c>
      <c r="G17" s="22" t="str">
        <f t="shared" si="2"/>
        <v>🟡 Medio</v>
      </c>
      <c r="H17" s="23" t="str">
        <f t="shared" si="3"/>
        <v>Mantener</v>
      </c>
    </row>
    <row r="18" spans="1:10" x14ac:dyDescent="0.25">
      <c r="A18" s="7" t="s">
        <v>110</v>
      </c>
      <c r="B18" s="9">
        <f>SUMPRODUCT(H$28:H$34,$B$3:$B$9)</f>
        <v>66</v>
      </c>
      <c r="C18" s="9" t="s">
        <v>85</v>
      </c>
      <c r="D18" s="9">
        <v>100</v>
      </c>
      <c r="E18" s="10">
        <f>B18/D18</f>
        <v>0.66</v>
      </c>
      <c r="F18" s="7" t="str">
        <f t="shared" si="1"/>
        <v>✓ OK</v>
      </c>
      <c r="G18" s="22" t="str">
        <f t="shared" si="2"/>
        <v>🟡 Medio</v>
      </c>
      <c r="H18" s="23" t="str">
        <f t="shared" si="3"/>
        <v>Mantener</v>
      </c>
    </row>
    <row r="19" spans="1:10" x14ac:dyDescent="0.25">
      <c r="A19" s="7" t="s">
        <v>108</v>
      </c>
      <c r="B19" s="9">
        <f>SUMPRODUCT(I$28:I$34,$B$3:$B$9)</f>
        <v>46.2</v>
      </c>
      <c r="C19" s="9" t="s">
        <v>85</v>
      </c>
      <c r="D19" s="9">
        <v>50</v>
      </c>
      <c r="E19" s="10">
        <f>B19/D19</f>
        <v>0.92400000000000004</v>
      </c>
      <c r="F19" s="7" t="str">
        <f t="shared" si="1"/>
        <v>✓ OK</v>
      </c>
      <c r="G19" s="25" t="str">
        <f t="shared" si="2"/>
        <v>🟢 Alto</v>
      </c>
      <c r="H19" s="23" t="str">
        <f t="shared" si="3"/>
        <v>Revisar</v>
      </c>
    </row>
    <row r="20" spans="1:10" x14ac:dyDescent="0.25">
      <c r="A20" s="7" t="s">
        <v>87</v>
      </c>
      <c r="B20" s="9">
        <f>SUMPRODUCT(J$28:J$34,$B$3:$B$9)</f>
        <v>500</v>
      </c>
      <c r="C20" s="9" t="s">
        <v>85</v>
      </c>
      <c r="D20" s="9">
        <v>500</v>
      </c>
      <c r="E20" s="10">
        <f>B20/D20</f>
        <v>1</v>
      </c>
      <c r="F20" s="7" t="str">
        <f t="shared" si="1"/>
        <v>✓ OK</v>
      </c>
      <c r="G20" s="25" t="str">
        <f t="shared" si="2"/>
        <v>🔴 Crítico</v>
      </c>
      <c r="H20" s="23" t="str">
        <f t="shared" si="3"/>
        <v>Recomienda aumentar</v>
      </c>
    </row>
    <row r="22" spans="1:10" x14ac:dyDescent="0.25">
      <c r="A22" s="7" t="s">
        <v>88</v>
      </c>
      <c r="B22" s="9">
        <f>B3</f>
        <v>5</v>
      </c>
      <c r="C22" s="9" t="s">
        <v>89</v>
      </c>
      <c r="D22" s="9">
        <v>5</v>
      </c>
    </row>
    <row r="23" spans="1:10" x14ac:dyDescent="0.25">
      <c r="A23" s="7" t="s">
        <v>90</v>
      </c>
      <c r="B23" s="9">
        <f>B5</f>
        <v>5</v>
      </c>
      <c r="C23" s="9" t="s">
        <v>89</v>
      </c>
      <c r="D23" s="9">
        <v>5</v>
      </c>
    </row>
    <row r="24" spans="1:10" x14ac:dyDescent="0.25">
      <c r="A24" s="7" t="s">
        <v>91</v>
      </c>
      <c r="B24" s="9">
        <f>B8</f>
        <v>15.4</v>
      </c>
      <c r="C24" s="9" t="s">
        <v>89</v>
      </c>
      <c r="D24" s="9">
        <v>3</v>
      </c>
    </row>
    <row r="26" spans="1:10" x14ac:dyDescent="0.25">
      <c r="A26" s="20" t="s">
        <v>92</v>
      </c>
    </row>
    <row r="27" spans="1:10" x14ac:dyDescent="0.25">
      <c r="A27" s="18" t="s">
        <v>8</v>
      </c>
      <c r="B27" s="18" t="s">
        <v>84</v>
      </c>
      <c r="C27" s="18" t="s">
        <v>93</v>
      </c>
      <c r="D27" s="18" t="s">
        <v>106</v>
      </c>
      <c r="E27" s="18" t="s">
        <v>94</v>
      </c>
      <c r="F27" s="18" t="s">
        <v>95</v>
      </c>
      <c r="G27" s="18" t="s">
        <v>109</v>
      </c>
      <c r="H27" s="18" t="s">
        <v>110</v>
      </c>
      <c r="I27" s="18" t="s">
        <v>108</v>
      </c>
      <c r="J27" s="18" t="s">
        <v>96</v>
      </c>
    </row>
    <row r="28" spans="1:10" x14ac:dyDescent="0.25">
      <c r="A28" s="7" t="s">
        <v>12</v>
      </c>
      <c r="B28" s="7">
        <v>0.08</v>
      </c>
      <c r="C28" s="7">
        <v>250</v>
      </c>
      <c r="D28" s="7">
        <v>1</v>
      </c>
      <c r="E28" s="7">
        <v>3</v>
      </c>
      <c r="F28" s="7">
        <v>0</v>
      </c>
      <c r="G28" s="7">
        <v>3</v>
      </c>
      <c r="H28" s="7">
        <v>3</v>
      </c>
      <c r="I28" s="7">
        <v>0</v>
      </c>
      <c r="J28" s="7">
        <v>10</v>
      </c>
    </row>
    <row r="29" spans="1:10" x14ac:dyDescent="0.25">
      <c r="A29" s="7" t="s">
        <v>16</v>
      </c>
      <c r="B29" s="7">
        <v>0.04</v>
      </c>
      <c r="C29" s="7">
        <v>250</v>
      </c>
      <c r="D29" s="7">
        <v>0</v>
      </c>
      <c r="E29" s="7">
        <v>3</v>
      </c>
      <c r="F29" s="7">
        <v>0</v>
      </c>
      <c r="G29" s="7">
        <v>3</v>
      </c>
      <c r="H29" s="7">
        <v>3</v>
      </c>
      <c r="I29" s="7">
        <v>0</v>
      </c>
      <c r="J29" s="7">
        <v>10</v>
      </c>
    </row>
    <row r="30" spans="1:10" x14ac:dyDescent="0.25">
      <c r="A30" s="7" t="s">
        <v>18</v>
      </c>
      <c r="B30" s="7">
        <v>0.06</v>
      </c>
      <c r="C30" s="7">
        <v>250</v>
      </c>
      <c r="D30" s="7">
        <v>0</v>
      </c>
      <c r="E30" s="7">
        <v>3</v>
      </c>
      <c r="F30" s="7">
        <v>0</v>
      </c>
      <c r="G30" s="7">
        <v>3</v>
      </c>
      <c r="H30" s="7">
        <v>3</v>
      </c>
      <c r="I30" s="7">
        <v>0</v>
      </c>
      <c r="J30" s="7">
        <v>15</v>
      </c>
    </row>
    <row r="31" spans="1:10" x14ac:dyDescent="0.25">
      <c r="A31" s="7" t="s">
        <v>20</v>
      </c>
      <c r="B31" s="7">
        <v>0.04</v>
      </c>
      <c r="C31" s="7">
        <v>250</v>
      </c>
      <c r="D31" s="7">
        <v>1</v>
      </c>
      <c r="E31" s="7">
        <v>3</v>
      </c>
      <c r="F31" s="7">
        <v>0</v>
      </c>
      <c r="G31" s="7">
        <v>3</v>
      </c>
      <c r="H31" s="7">
        <v>3</v>
      </c>
      <c r="I31" s="7">
        <v>0</v>
      </c>
      <c r="J31" s="7">
        <v>12</v>
      </c>
    </row>
    <row r="32" spans="1:10" x14ac:dyDescent="0.25">
      <c r="A32" s="7" t="s">
        <v>22</v>
      </c>
      <c r="B32" s="7">
        <v>7.0000000000000007E-2</v>
      </c>
      <c r="C32" s="7">
        <v>250</v>
      </c>
      <c r="D32" s="7">
        <v>1</v>
      </c>
      <c r="E32" s="7">
        <v>3</v>
      </c>
      <c r="F32" s="7">
        <v>0</v>
      </c>
      <c r="G32" s="7">
        <v>3</v>
      </c>
      <c r="H32" s="7">
        <v>3</v>
      </c>
      <c r="I32" s="7">
        <v>0</v>
      </c>
      <c r="J32" s="7">
        <v>12</v>
      </c>
    </row>
    <row r="33" spans="1:10" x14ac:dyDescent="0.25">
      <c r="A33" s="7" t="s">
        <v>24</v>
      </c>
      <c r="B33" s="7">
        <v>0</v>
      </c>
      <c r="C33" s="7">
        <v>0</v>
      </c>
      <c r="D33" s="7">
        <v>0</v>
      </c>
      <c r="E33" s="7">
        <v>0</v>
      </c>
      <c r="F33" s="7">
        <v>1</v>
      </c>
      <c r="G33" s="7">
        <v>0</v>
      </c>
      <c r="H33" s="7">
        <v>0</v>
      </c>
      <c r="I33" s="7">
        <v>3</v>
      </c>
      <c r="J33" s="7">
        <v>15</v>
      </c>
    </row>
    <row r="34" spans="1:10" x14ac:dyDescent="0.25">
      <c r="A34" s="7" t="s">
        <v>26</v>
      </c>
      <c r="B34" s="7">
        <v>0</v>
      </c>
      <c r="C34" s="7">
        <v>1</v>
      </c>
      <c r="D34" s="7">
        <v>0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10</v>
      </c>
    </row>
    <row r="36" spans="1:10" x14ac:dyDescent="0.25">
      <c r="A36" s="18" t="s">
        <v>97</v>
      </c>
      <c r="B36" s="12">
        <f>SUMPRODUCT(B3:B9,B39:B45)</f>
        <v>1057</v>
      </c>
    </row>
    <row r="37" spans="1:10" x14ac:dyDescent="0.25">
      <c r="A37" s="11"/>
    </row>
    <row r="38" spans="1:10" x14ac:dyDescent="0.25">
      <c r="A38" s="63" t="s">
        <v>98</v>
      </c>
      <c r="B38" s="64"/>
    </row>
    <row r="39" spans="1:10" x14ac:dyDescent="0.25">
      <c r="A39" s="7" t="s">
        <v>99</v>
      </c>
      <c r="B39" s="7">
        <v>22</v>
      </c>
    </row>
    <row r="40" spans="1:10" x14ac:dyDescent="0.25">
      <c r="A40" s="7" t="s">
        <v>100</v>
      </c>
      <c r="B40" s="7">
        <v>20</v>
      </c>
    </row>
    <row r="41" spans="1:10" x14ac:dyDescent="0.25">
      <c r="A41" s="7" t="s">
        <v>101</v>
      </c>
      <c r="B41" s="7">
        <v>25</v>
      </c>
    </row>
    <row r="42" spans="1:10" x14ac:dyDescent="0.25">
      <c r="A42" s="7" t="s">
        <v>102</v>
      </c>
      <c r="B42" s="7">
        <v>30</v>
      </c>
    </row>
    <row r="43" spans="1:10" x14ac:dyDescent="0.25">
      <c r="A43" s="7" t="s">
        <v>103</v>
      </c>
      <c r="B43" s="7">
        <v>28</v>
      </c>
    </row>
    <row r="44" spans="1:10" x14ac:dyDescent="0.25">
      <c r="A44" s="7" t="s">
        <v>104</v>
      </c>
      <c r="B44" s="7">
        <v>30</v>
      </c>
    </row>
    <row r="45" spans="1:10" x14ac:dyDescent="0.25">
      <c r="A45" s="7" t="s">
        <v>105</v>
      </c>
      <c r="B45" s="7">
        <v>15</v>
      </c>
    </row>
  </sheetData>
  <mergeCells count="2">
    <mergeCell ref="A1:J1"/>
    <mergeCell ref="A38:B3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40C97-5F45-4A38-A9B0-9D3FB3D1C47C}">
  <dimension ref="A1:J45"/>
  <sheetViews>
    <sheetView zoomScale="130" zoomScaleNormal="130" workbookViewId="0">
      <selection activeCell="D20" sqref="D20"/>
    </sheetView>
  </sheetViews>
  <sheetFormatPr defaultColWidth="9.140625" defaultRowHeight="15" x14ac:dyDescent="0.25"/>
  <cols>
    <col min="1" max="1" width="38.28515625" bestFit="1" customWidth="1"/>
    <col min="2" max="2" width="18.5703125" bestFit="1" customWidth="1"/>
    <col min="3" max="3" width="12.42578125" customWidth="1"/>
    <col min="4" max="4" width="14.5703125" customWidth="1"/>
    <col min="5" max="5" width="13.7109375" bestFit="1" customWidth="1"/>
    <col min="6" max="6" width="12.5703125" customWidth="1"/>
    <col min="7" max="7" width="18.28515625" customWidth="1"/>
    <col min="8" max="8" width="22.7109375" customWidth="1"/>
    <col min="9" max="9" width="15" bestFit="1" customWidth="1"/>
    <col min="10" max="10" width="13.140625" bestFit="1" customWidth="1"/>
  </cols>
  <sheetData>
    <row r="1" spans="1:10" ht="18" x14ac:dyDescent="0.25">
      <c r="A1" s="59" t="s">
        <v>128</v>
      </c>
      <c r="B1" s="60"/>
      <c r="C1" s="61"/>
      <c r="D1" s="61"/>
      <c r="E1" s="61"/>
      <c r="F1" s="61"/>
      <c r="G1" s="61"/>
      <c r="H1" s="61"/>
      <c r="I1" s="61"/>
      <c r="J1" s="62"/>
    </row>
    <row r="2" spans="1:10" x14ac:dyDescent="0.25">
      <c r="A2" s="18" t="s">
        <v>72</v>
      </c>
      <c r="B2" s="18" t="s">
        <v>124</v>
      </c>
    </row>
    <row r="3" spans="1:10" x14ac:dyDescent="0.25">
      <c r="A3" s="7" t="s">
        <v>73</v>
      </c>
      <c r="B3" s="8">
        <v>10</v>
      </c>
    </row>
    <row r="4" spans="1:10" x14ac:dyDescent="0.25">
      <c r="A4" s="7" t="s">
        <v>74</v>
      </c>
      <c r="B4" s="8">
        <v>1</v>
      </c>
    </row>
    <row r="5" spans="1:10" x14ac:dyDescent="0.25">
      <c r="A5" s="7" t="s">
        <v>75</v>
      </c>
      <c r="B5" s="8">
        <v>5</v>
      </c>
      <c r="F5" s="18" t="s">
        <v>130</v>
      </c>
      <c r="G5" s="19" t="s">
        <v>131</v>
      </c>
    </row>
    <row r="6" spans="1:10" x14ac:dyDescent="0.25">
      <c r="A6" s="7" t="s">
        <v>76</v>
      </c>
      <c r="B6" s="8">
        <v>4</v>
      </c>
      <c r="F6" s="7" t="s">
        <v>132</v>
      </c>
      <c r="G6" s="24" t="s">
        <v>136</v>
      </c>
    </row>
    <row r="7" spans="1:10" x14ac:dyDescent="0.25">
      <c r="A7" s="7" t="s">
        <v>77</v>
      </c>
      <c r="B7" s="8">
        <v>1</v>
      </c>
      <c r="F7" s="7" t="s">
        <v>133</v>
      </c>
      <c r="G7" s="24" t="s">
        <v>137</v>
      </c>
    </row>
    <row r="8" spans="1:10" x14ac:dyDescent="0.25">
      <c r="A8" s="7" t="s">
        <v>78</v>
      </c>
      <c r="B8" s="8">
        <v>9</v>
      </c>
      <c r="F8" s="7" t="s">
        <v>134</v>
      </c>
      <c r="G8" s="24" t="s">
        <v>138</v>
      </c>
    </row>
    <row r="9" spans="1:10" x14ac:dyDescent="0.25">
      <c r="A9" s="7" t="s">
        <v>79</v>
      </c>
      <c r="B9" s="8">
        <v>12</v>
      </c>
      <c r="F9" s="7" t="s">
        <v>135</v>
      </c>
      <c r="G9" s="24" t="s">
        <v>139</v>
      </c>
    </row>
    <row r="11" spans="1:10" x14ac:dyDescent="0.25">
      <c r="A11" s="18" t="s">
        <v>80</v>
      </c>
      <c r="B11" s="19" t="s">
        <v>81</v>
      </c>
      <c r="C11" s="19" t="s">
        <v>82</v>
      </c>
      <c r="D11" s="19" t="s">
        <v>38</v>
      </c>
      <c r="E11" s="18" t="s">
        <v>83</v>
      </c>
      <c r="F11" s="20" t="s">
        <v>126</v>
      </c>
      <c r="G11" s="20" t="s">
        <v>127</v>
      </c>
      <c r="H11" s="21" t="s">
        <v>129</v>
      </c>
    </row>
    <row r="12" spans="1:10" x14ac:dyDescent="0.25">
      <c r="A12" s="7" t="s">
        <v>84</v>
      </c>
      <c r="B12" s="9">
        <f>SUMPRODUCT(B$28:B$34,$B$3:$B$9)</f>
        <v>1.37</v>
      </c>
      <c r="C12" s="9" t="s">
        <v>85</v>
      </c>
      <c r="D12" s="9">
        <v>3</v>
      </c>
      <c r="E12" s="10">
        <f>B12/D12</f>
        <v>0.45666666666666672</v>
      </c>
      <c r="F12" s="7" t="str">
        <f>IF(B12&lt;=D12,"✓ OK","✗ EXCEDE")</f>
        <v>✓ OK</v>
      </c>
      <c r="G12" s="22" t="str">
        <f>IF(E12="","",IF(E12&gt;=0.95,"🔴 Crítico",IF(E12&gt;=0.8,"🟢 Alto",IF(E12&gt;=0.5,"🟡 Medio","⚪ Bajo"))))</f>
        <v>⚪ Bajo</v>
      </c>
      <c r="H12" s="23" t="str">
        <f>IF(E12="","",IF(E12&gt;=0.95,"Recomienda aumentar",IF(E12&gt;=0.8,"Revisar",IF(E12&gt;=0.5,"Mantener","Se recomienda reducir"))))</f>
        <v>Se recomienda reducir</v>
      </c>
    </row>
    <row r="13" spans="1:10" x14ac:dyDescent="0.25">
      <c r="A13" s="7" t="s">
        <v>43</v>
      </c>
      <c r="B13" s="9">
        <f>SUMPRODUCT(C$28:C$34,$B$3:$B$9)</f>
        <v>5262</v>
      </c>
      <c r="C13" s="9" t="s">
        <v>85</v>
      </c>
      <c r="D13" s="9">
        <v>5500</v>
      </c>
      <c r="E13" s="10">
        <f>B13/D13</f>
        <v>0.95672727272727276</v>
      </c>
      <c r="F13" s="7" t="str">
        <f>IF(B13&lt;=D13,"✓ OK","✗ EXCEDE")</f>
        <v>✓ OK</v>
      </c>
      <c r="G13" s="25" t="str">
        <f>IF(E13="","",IF(E13&gt;=0.95,"🔴 Crítico",IF(E13&gt;=0.8,"🟢 Alto",IF(E13&gt;=0.5,"🟡 Medio","⚪ Bajo"))))</f>
        <v>🔴 Crítico</v>
      </c>
      <c r="H13" s="23" t="str">
        <f>IF(E13="","",IF(E13&gt;=0.95,"Recomienda aumentar",IF(E13&gt;=0.8,"Revisar",IF(E13&gt;=0.5,"Mantener","Se recomienda reducir"))))</f>
        <v>Recomienda aumentar</v>
      </c>
    </row>
    <row r="14" spans="1:10" x14ac:dyDescent="0.25">
      <c r="A14" s="7" t="s">
        <v>46</v>
      </c>
      <c r="B14" s="9">
        <f>SUMPRODUCT(D$28:D$34,$B$3:$B$9)</f>
        <v>15</v>
      </c>
      <c r="C14" s="9" t="s">
        <v>85</v>
      </c>
      <c r="D14" s="9">
        <v>30</v>
      </c>
      <c r="E14" s="10">
        <f t="shared" ref="E14:E16" si="0">B14/D14</f>
        <v>0.5</v>
      </c>
      <c r="F14" s="7" t="str">
        <f t="shared" ref="F14:F20" si="1">IF(B14&lt;=D14,"✓ OK","✗ EXCEDE")</f>
        <v>✓ OK</v>
      </c>
      <c r="G14" s="22" t="str">
        <f t="shared" ref="G14:G20" si="2">IF(E14="","",IF(E14&gt;=0.95,"🔴 Crítico",IF(E14&gt;=0.8,"🟢 Alto",IF(E14&gt;=0.5,"🟡 Medio","⚪ Bajo"))))</f>
        <v>🟡 Medio</v>
      </c>
      <c r="H14" s="23" t="str">
        <f t="shared" ref="H14:H20" si="3">IF(E14="","",IF(E14&gt;=0.95,"Recomienda aumentar",IF(E14&gt;=0.8,"Revisar",IF(E14&gt;=0.5,"Mantener","Se recomienda reducir"))))</f>
        <v>Mantener</v>
      </c>
    </row>
    <row r="15" spans="1:10" x14ac:dyDescent="0.25">
      <c r="A15" s="7" t="s">
        <v>107</v>
      </c>
      <c r="B15" s="9">
        <f>SUMPRODUCT(E$28:E$34,$B$3:$B$9)</f>
        <v>63</v>
      </c>
      <c r="C15" s="9" t="s">
        <v>85</v>
      </c>
      <c r="D15" s="9">
        <v>70</v>
      </c>
      <c r="E15" s="10">
        <f t="shared" si="0"/>
        <v>0.9</v>
      </c>
      <c r="F15" s="7" t="str">
        <f t="shared" si="1"/>
        <v>✓ OK</v>
      </c>
      <c r="G15" s="25" t="str">
        <f>IF(E15="","",IF(E15&gt;=0.95,"🔴 Crítico",IF(E15&gt;=0.8,"🟢 Alto",IF(E15&gt;=0.5,"🟡 Medio","⚪ Bajo"))))</f>
        <v>🟢 Alto</v>
      </c>
      <c r="H15" s="23" t="str">
        <f t="shared" si="3"/>
        <v>Revisar</v>
      </c>
    </row>
    <row r="16" spans="1:10" x14ac:dyDescent="0.25">
      <c r="A16" s="7" t="s">
        <v>86</v>
      </c>
      <c r="B16" s="9">
        <f>SUMPRODUCT(F$28:F$34,$B$3:$B$9)</f>
        <v>21</v>
      </c>
      <c r="C16" s="9" t="s">
        <v>85</v>
      </c>
      <c r="D16" s="9">
        <v>30</v>
      </c>
      <c r="E16" s="10">
        <f t="shared" si="0"/>
        <v>0.7</v>
      </c>
      <c r="F16" s="7" t="str">
        <f t="shared" si="1"/>
        <v>✓ OK</v>
      </c>
      <c r="G16" s="22" t="str">
        <f t="shared" si="2"/>
        <v>🟡 Medio</v>
      </c>
      <c r="H16" s="23" t="str">
        <f t="shared" si="3"/>
        <v>Mantener</v>
      </c>
    </row>
    <row r="17" spans="1:10" x14ac:dyDescent="0.25">
      <c r="A17" s="7" t="s">
        <v>109</v>
      </c>
      <c r="B17" s="9">
        <f>SUMPRODUCT(G$28:G$34,$B$3:$B$9)</f>
        <v>63</v>
      </c>
      <c r="C17" s="9" t="s">
        <v>85</v>
      </c>
      <c r="D17" s="9">
        <v>100</v>
      </c>
      <c r="E17" s="10">
        <f>B17/D17</f>
        <v>0.63</v>
      </c>
      <c r="F17" s="7" t="str">
        <f t="shared" si="1"/>
        <v>✓ OK</v>
      </c>
      <c r="G17" s="22" t="str">
        <f t="shared" si="2"/>
        <v>🟡 Medio</v>
      </c>
      <c r="H17" s="23" t="str">
        <f t="shared" si="3"/>
        <v>Mantener</v>
      </c>
    </row>
    <row r="18" spans="1:10" x14ac:dyDescent="0.25">
      <c r="A18" s="7" t="s">
        <v>110</v>
      </c>
      <c r="B18" s="9">
        <f>SUMPRODUCT(H$28:H$34,$B$3:$B$9)</f>
        <v>63</v>
      </c>
      <c r="C18" s="9" t="s">
        <v>85</v>
      </c>
      <c r="D18" s="9">
        <v>100</v>
      </c>
      <c r="E18" s="10">
        <f>B18/D18</f>
        <v>0.63</v>
      </c>
      <c r="F18" s="7" t="str">
        <f t="shared" si="1"/>
        <v>✓ OK</v>
      </c>
      <c r="G18" s="22" t="str">
        <f t="shared" si="2"/>
        <v>🟡 Medio</v>
      </c>
      <c r="H18" s="23" t="str">
        <f t="shared" si="3"/>
        <v>Mantener</v>
      </c>
    </row>
    <row r="19" spans="1:10" x14ac:dyDescent="0.25">
      <c r="A19" s="7" t="s">
        <v>108</v>
      </c>
      <c r="B19" s="9">
        <f>SUMPRODUCT(I$28:I$34,$B$3:$B$9)</f>
        <v>27</v>
      </c>
      <c r="C19" s="9" t="s">
        <v>85</v>
      </c>
      <c r="D19" s="9">
        <v>50</v>
      </c>
      <c r="E19" s="10">
        <f>B19/D19</f>
        <v>0.54</v>
      </c>
      <c r="F19" s="7" t="str">
        <f t="shared" si="1"/>
        <v>✓ OK</v>
      </c>
      <c r="G19" s="22" t="str">
        <f t="shared" si="2"/>
        <v>🟡 Medio</v>
      </c>
      <c r="H19" s="23" t="str">
        <f t="shared" si="3"/>
        <v>Mantener</v>
      </c>
    </row>
    <row r="20" spans="1:10" x14ac:dyDescent="0.25">
      <c r="A20" s="7" t="s">
        <v>87</v>
      </c>
      <c r="B20" s="9">
        <f>SUMPRODUCT(J$28:J$34,$B$3:$B$9)</f>
        <v>500</v>
      </c>
      <c r="C20" s="9" t="s">
        <v>85</v>
      </c>
      <c r="D20" s="9">
        <v>500</v>
      </c>
      <c r="E20" s="10">
        <f>B20/D20</f>
        <v>1</v>
      </c>
      <c r="F20" s="7" t="str">
        <f t="shared" si="1"/>
        <v>✓ OK</v>
      </c>
      <c r="G20" s="22" t="str">
        <f t="shared" si="2"/>
        <v>🔴 Crítico</v>
      </c>
      <c r="H20" s="23" t="str">
        <f t="shared" si="3"/>
        <v>Recomienda aumentar</v>
      </c>
    </row>
    <row r="22" spans="1:10" x14ac:dyDescent="0.25">
      <c r="A22" s="7" t="s">
        <v>88</v>
      </c>
      <c r="B22" s="9">
        <f>B3</f>
        <v>10</v>
      </c>
      <c r="C22" s="9" t="s">
        <v>89</v>
      </c>
      <c r="D22" s="9">
        <v>5</v>
      </c>
    </row>
    <row r="23" spans="1:10" x14ac:dyDescent="0.25">
      <c r="A23" s="7" t="s">
        <v>90</v>
      </c>
      <c r="B23" s="9">
        <f>B5</f>
        <v>5</v>
      </c>
      <c r="C23" s="9" t="s">
        <v>89</v>
      </c>
      <c r="D23" s="9">
        <v>5</v>
      </c>
    </row>
    <row r="24" spans="1:10" x14ac:dyDescent="0.25">
      <c r="A24" s="7" t="s">
        <v>91</v>
      </c>
      <c r="B24" s="9">
        <f>B8</f>
        <v>9</v>
      </c>
      <c r="C24" s="9" t="s">
        <v>89</v>
      </c>
      <c r="D24" s="9">
        <v>3</v>
      </c>
    </row>
    <row r="26" spans="1:10" x14ac:dyDescent="0.25">
      <c r="A26" s="20" t="s">
        <v>92</v>
      </c>
    </row>
    <row r="27" spans="1:10" x14ac:dyDescent="0.25">
      <c r="A27" s="18" t="s">
        <v>8</v>
      </c>
      <c r="B27" s="18" t="s">
        <v>84</v>
      </c>
      <c r="C27" s="18" t="s">
        <v>93</v>
      </c>
      <c r="D27" s="18" t="s">
        <v>106</v>
      </c>
      <c r="E27" s="18" t="s">
        <v>94</v>
      </c>
      <c r="F27" s="18" t="s">
        <v>95</v>
      </c>
      <c r="G27" s="18" t="s">
        <v>109</v>
      </c>
      <c r="H27" s="18" t="s">
        <v>110</v>
      </c>
      <c r="I27" s="18" t="s">
        <v>108</v>
      </c>
      <c r="J27" s="18" t="s">
        <v>96</v>
      </c>
    </row>
    <row r="28" spans="1:10" x14ac:dyDescent="0.25">
      <c r="A28" s="7" t="s">
        <v>12</v>
      </c>
      <c r="B28" s="7">
        <v>0.08</v>
      </c>
      <c r="C28" s="7">
        <v>250</v>
      </c>
      <c r="D28" s="7">
        <v>1</v>
      </c>
      <c r="E28" s="7">
        <v>3</v>
      </c>
      <c r="F28" s="7">
        <v>0</v>
      </c>
      <c r="G28" s="7">
        <v>3</v>
      </c>
      <c r="H28" s="7">
        <v>3</v>
      </c>
      <c r="I28" s="7">
        <v>0</v>
      </c>
      <c r="J28" s="7">
        <v>10</v>
      </c>
    </row>
    <row r="29" spans="1:10" x14ac:dyDescent="0.25">
      <c r="A29" s="7" t="s">
        <v>16</v>
      </c>
      <c r="B29" s="7">
        <v>0.04</v>
      </c>
      <c r="C29" s="7">
        <v>250</v>
      </c>
      <c r="D29" s="7">
        <v>0</v>
      </c>
      <c r="E29" s="7">
        <v>3</v>
      </c>
      <c r="F29" s="7">
        <v>0</v>
      </c>
      <c r="G29" s="7">
        <v>3</v>
      </c>
      <c r="H29" s="7">
        <v>3</v>
      </c>
      <c r="I29" s="7">
        <v>0</v>
      </c>
      <c r="J29" s="7">
        <v>10</v>
      </c>
    </row>
    <row r="30" spans="1:10" x14ac:dyDescent="0.25">
      <c r="A30" s="7" t="s">
        <v>18</v>
      </c>
      <c r="B30" s="7">
        <v>0.06</v>
      </c>
      <c r="C30" s="7">
        <v>250</v>
      </c>
      <c r="D30" s="7">
        <v>0</v>
      </c>
      <c r="E30" s="7">
        <v>3</v>
      </c>
      <c r="F30" s="7">
        <v>0</v>
      </c>
      <c r="G30" s="7">
        <v>3</v>
      </c>
      <c r="H30" s="7">
        <v>3</v>
      </c>
      <c r="I30" s="7">
        <v>0</v>
      </c>
      <c r="J30" s="7">
        <v>15</v>
      </c>
    </row>
    <row r="31" spans="1:10" x14ac:dyDescent="0.25">
      <c r="A31" s="7" t="s">
        <v>20</v>
      </c>
      <c r="B31" s="7">
        <v>0.04</v>
      </c>
      <c r="C31" s="7">
        <v>250</v>
      </c>
      <c r="D31" s="7">
        <v>1</v>
      </c>
      <c r="E31" s="7">
        <v>3</v>
      </c>
      <c r="F31" s="7">
        <v>0</v>
      </c>
      <c r="G31" s="7">
        <v>3</v>
      </c>
      <c r="H31" s="7">
        <v>3</v>
      </c>
      <c r="I31" s="7">
        <v>0</v>
      </c>
      <c r="J31" s="7">
        <v>12</v>
      </c>
    </row>
    <row r="32" spans="1:10" x14ac:dyDescent="0.25">
      <c r="A32" s="7" t="s">
        <v>22</v>
      </c>
      <c r="B32" s="7">
        <v>7.0000000000000007E-2</v>
      </c>
      <c r="C32" s="7">
        <v>250</v>
      </c>
      <c r="D32" s="7">
        <v>1</v>
      </c>
      <c r="E32" s="7">
        <v>3</v>
      </c>
      <c r="F32" s="7">
        <v>0</v>
      </c>
      <c r="G32" s="7">
        <v>3</v>
      </c>
      <c r="H32" s="7">
        <v>3</v>
      </c>
      <c r="I32" s="7">
        <v>0</v>
      </c>
      <c r="J32" s="7">
        <v>12</v>
      </c>
    </row>
    <row r="33" spans="1:10" x14ac:dyDescent="0.25">
      <c r="A33" s="7" t="s">
        <v>24</v>
      </c>
      <c r="B33" s="7">
        <v>0</v>
      </c>
      <c r="C33" s="7">
        <v>0</v>
      </c>
      <c r="D33" s="7">
        <v>0</v>
      </c>
      <c r="E33" s="7">
        <v>0</v>
      </c>
      <c r="F33" s="7">
        <v>1</v>
      </c>
      <c r="G33" s="7">
        <v>0</v>
      </c>
      <c r="H33" s="7">
        <v>0</v>
      </c>
      <c r="I33" s="7">
        <v>3</v>
      </c>
      <c r="J33" s="7">
        <v>15</v>
      </c>
    </row>
    <row r="34" spans="1:10" x14ac:dyDescent="0.25">
      <c r="A34" s="7" t="s">
        <v>26</v>
      </c>
      <c r="B34" s="7">
        <v>0</v>
      </c>
      <c r="C34" s="7">
        <v>1</v>
      </c>
      <c r="D34" s="7">
        <v>0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10</v>
      </c>
    </row>
    <row r="36" spans="1:10" x14ac:dyDescent="0.25">
      <c r="A36" s="18" t="s">
        <v>97</v>
      </c>
      <c r="B36" s="12">
        <f>SUMPRODUCT(B3:B9,B39:B45)</f>
        <v>963</v>
      </c>
    </row>
    <row r="37" spans="1:10" x14ac:dyDescent="0.25">
      <c r="A37" s="11"/>
    </row>
    <row r="38" spans="1:10" x14ac:dyDescent="0.25">
      <c r="A38" s="63" t="s">
        <v>98</v>
      </c>
      <c r="B38" s="64"/>
    </row>
    <row r="39" spans="1:10" x14ac:dyDescent="0.25">
      <c r="A39" s="7" t="s">
        <v>99</v>
      </c>
      <c r="B39" s="7">
        <v>22</v>
      </c>
    </row>
    <row r="40" spans="1:10" x14ac:dyDescent="0.25">
      <c r="A40" s="7" t="s">
        <v>100</v>
      </c>
      <c r="B40" s="7">
        <v>20</v>
      </c>
    </row>
    <row r="41" spans="1:10" x14ac:dyDescent="0.25">
      <c r="A41" s="7" t="s">
        <v>101</v>
      </c>
      <c r="B41" s="7">
        <v>25</v>
      </c>
    </row>
    <row r="42" spans="1:10" x14ac:dyDescent="0.25">
      <c r="A42" s="7" t="s">
        <v>102</v>
      </c>
      <c r="B42" s="7">
        <v>30</v>
      </c>
    </row>
    <row r="43" spans="1:10" x14ac:dyDescent="0.25">
      <c r="A43" s="7" t="s">
        <v>103</v>
      </c>
      <c r="B43" s="7">
        <v>28</v>
      </c>
    </row>
    <row r="44" spans="1:10" x14ac:dyDescent="0.25">
      <c r="A44" s="7" t="s">
        <v>104</v>
      </c>
      <c r="B44" s="7">
        <v>30</v>
      </c>
    </row>
    <row r="45" spans="1:10" x14ac:dyDescent="0.25">
      <c r="A45" s="7" t="s">
        <v>105</v>
      </c>
      <c r="B45" s="7">
        <v>15</v>
      </c>
    </row>
  </sheetData>
  <mergeCells count="2">
    <mergeCell ref="A1:J1"/>
    <mergeCell ref="A38:B3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5F9BD-C155-452C-AFB9-B117A8C08C65}">
  <dimension ref="A1:N31"/>
  <sheetViews>
    <sheetView showGridLines="0" workbookViewId="0">
      <selection activeCell="N12" sqref="N12"/>
    </sheetView>
  </sheetViews>
  <sheetFormatPr defaultColWidth="9.140625" defaultRowHeight="15" x14ac:dyDescent="0.25"/>
  <cols>
    <col min="1" max="1" width="2.28515625" customWidth="1"/>
    <col min="2" max="2" width="6.140625" bestFit="1" customWidth="1"/>
    <col min="3" max="3" width="45.42578125" bestFit="1" customWidth="1"/>
    <col min="4" max="4" width="6.140625" bestFit="1" customWidth="1"/>
    <col min="5" max="5" width="8.7109375" bestFit="1" customWidth="1"/>
    <col min="6" max="6" width="10.85546875" bestFit="1" customWidth="1"/>
    <col min="7" max="7" width="12" customWidth="1"/>
    <col min="8" max="8" width="12" bestFit="1" customWidth="1"/>
    <col min="9" max="9" width="9.140625" customWidth="1"/>
  </cols>
  <sheetData>
    <row r="1" spans="1:14" x14ac:dyDescent="0.25">
      <c r="A1" s="11" t="s">
        <v>141</v>
      </c>
    </row>
    <row r="2" spans="1:14" x14ac:dyDescent="0.25">
      <c r="A2" s="11" t="s">
        <v>142</v>
      </c>
    </row>
    <row r="3" spans="1:14" x14ac:dyDescent="0.25">
      <c r="A3" s="11" t="s">
        <v>143</v>
      </c>
    </row>
    <row r="6" spans="1:14" ht="15.75" thickBot="1" x14ac:dyDescent="0.3">
      <c r="A6" t="s">
        <v>144</v>
      </c>
    </row>
    <row r="7" spans="1:14" x14ac:dyDescent="0.25">
      <c r="B7" s="32"/>
      <c r="C7" s="32"/>
      <c r="D7" s="32" t="s">
        <v>147</v>
      </c>
      <c r="E7" s="32" t="s">
        <v>149</v>
      </c>
      <c r="F7" s="32" t="s">
        <v>151</v>
      </c>
      <c r="G7" s="32" t="s">
        <v>153</v>
      </c>
      <c r="H7" s="32" t="s">
        <v>153</v>
      </c>
    </row>
    <row r="8" spans="1:14" ht="15.75" thickBot="1" x14ac:dyDescent="0.3">
      <c r="B8" s="33" t="s">
        <v>145</v>
      </c>
      <c r="C8" s="33" t="s">
        <v>146</v>
      </c>
      <c r="D8" s="33" t="s">
        <v>148</v>
      </c>
      <c r="E8" s="33" t="s">
        <v>150</v>
      </c>
      <c r="F8" s="33" t="s">
        <v>152</v>
      </c>
      <c r="G8" s="33" t="s">
        <v>154</v>
      </c>
      <c r="H8" s="33" t="s">
        <v>155</v>
      </c>
      <c r="I8" s="34" t="s">
        <v>199</v>
      </c>
      <c r="J8" s="34" t="s">
        <v>200</v>
      </c>
    </row>
    <row r="9" spans="1:14" x14ac:dyDescent="0.25">
      <c r="B9" s="30" t="s">
        <v>161</v>
      </c>
      <c r="C9" s="30" t="s">
        <v>162</v>
      </c>
      <c r="D9" s="30">
        <v>5</v>
      </c>
      <c r="E9" s="30">
        <v>0</v>
      </c>
      <c r="F9" s="30">
        <v>22</v>
      </c>
      <c r="G9" s="30">
        <v>3.9999999999999969</v>
      </c>
      <c r="H9" s="30">
        <v>1E+30</v>
      </c>
      <c r="I9">
        <f>F9-H9</f>
        <v>-1E+30</v>
      </c>
      <c r="J9">
        <f>F9+G9</f>
        <v>25.999999999999996</v>
      </c>
      <c r="N9" t="s">
        <v>214</v>
      </c>
    </row>
    <row r="10" spans="1:14" x14ac:dyDescent="0.25">
      <c r="B10" s="30" t="s">
        <v>163</v>
      </c>
      <c r="C10" s="30" t="s">
        <v>164</v>
      </c>
      <c r="D10" s="30">
        <v>0</v>
      </c>
      <c r="E10" s="30">
        <v>-5.9999999999999964</v>
      </c>
      <c r="F10" s="30">
        <v>20</v>
      </c>
      <c r="G10" s="30">
        <v>5.9999999999999964</v>
      </c>
      <c r="H10" s="30">
        <v>1E+30</v>
      </c>
      <c r="I10">
        <f t="shared" ref="I10:I31" si="0">F10-H10</f>
        <v>-1E+30</v>
      </c>
      <c r="J10">
        <f t="shared" ref="J10:J31" si="1">F10+G10</f>
        <v>25.999999999999996</v>
      </c>
      <c r="N10" t="s">
        <v>215</v>
      </c>
    </row>
    <row r="11" spans="1:14" x14ac:dyDescent="0.25">
      <c r="B11" s="30" t="s">
        <v>165</v>
      </c>
      <c r="C11" s="30" t="s">
        <v>166</v>
      </c>
      <c r="D11" s="30">
        <v>5</v>
      </c>
      <c r="E11" s="30">
        <v>0</v>
      </c>
      <c r="F11" s="30">
        <v>25</v>
      </c>
      <c r="G11" s="30">
        <v>10.999999999999998</v>
      </c>
      <c r="H11" s="30">
        <v>1E+30</v>
      </c>
      <c r="I11">
        <f t="shared" si="0"/>
        <v>-1E+30</v>
      </c>
      <c r="J11">
        <f t="shared" si="1"/>
        <v>36</v>
      </c>
      <c r="N11" t="s">
        <v>216</v>
      </c>
    </row>
    <row r="12" spans="1:14" x14ac:dyDescent="0.25">
      <c r="B12" s="30" t="s">
        <v>167</v>
      </c>
      <c r="C12" s="30" t="s">
        <v>168</v>
      </c>
      <c r="D12" s="30">
        <v>12</v>
      </c>
      <c r="E12" s="30">
        <v>0</v>
      </c>
      <c r="F12" s="30">
        <v>30</v>
      </c>
      <c r="G12" s="30">
        <v>3.6028797018964E+16</v>
      </c>
      <c r="H12" s="30">
        <v>2</v>
      </c>
      <c r="I12">
        <f t="shared" si="0"/>
        <v>28</v>
      </c>
      <c r="J12">
        <f t="shared" si="1"/>
        <v>3.6028797018964032E+16</v>
      </c>
    </row>
    <row r="13" spans="1:14" x14ac:dyDescent="0.25">
      <c r="B13" s="30" t="s">
        <v>169</v>
      </c>
      <c r="C13" s="30" t="s">
        <v>170</v>
      </c>
      <c r="D13" s="30">
        <v>0</v>
      </c>
      <c r="E13" s="30">
        <v>-2</v>
      </c>
      <c r="F13" s="30">
        <v>28</v>
      </c>
      <c r="G13" s="30">
        <v>2</v>
      </c>
      <c r="H13" s="30">
        <v>1E+30</v>
      </c>
      <c r="I13">
        <f t="shared" si="0"/>
        <v>-1E+30</v>
      </c>
      <c r="J13">
        <f t="shared" si="1"/>
        <v>30</v>
      </c>
    </row>
    <row r="14" spans="1:14" x14ac:dyDescent="0.25">
      <c r="B14" s="30" t="s">
        <v>171</v>
      </c>
      <c r="C14" s="30" t="s">
        <v>172</v>
      </c>
      <c r="D14" s="30">
        <v>15.399999999999999</v>
      </c>
      <c r="E14" s="30">
        <v>0</v>
      </c>
      <c r="F14" s="30">
        <v>30</v>
      </c>
      <c r="G14" s="30">
        <v>7.4999999999999973</v>
      </c>
      <c r="H14" s="30">
        <v>7.5723472668810254</v>
      </c>
      <c r="I14">
        <f t="shared" si="0"/>
        <v>22.427652733118975</v>
      </c>
      <c r="J14">
        <f t="shared" si="1"/>
        <v>37.5</v>
      </c>
    </row>
    <row r="15" spans="1:14" ht="15.75" thickBot="1" x14ac:dyDescent="0.3">
      <c r="B15" s="31" t="s">
        <v>173</v>
      </c>
      <c r="C15" s="31" t="s">
        <v>174</v>
      </c>
      <c r="D15" s="31">
        <v>0</v>
      </c>
      <c r="E15" s="31">
        <v>-5.0239999999999974</v>
      </c>
      <c r="F15" s="31">
        <v>15</v>
      </c>
      <c r="G15" s="31">
        <v>5.0239999999999974</v>
      </c>
      <c r="H15" s="31">
        <v>1E+30</v>
      </c>
      <c r="I15">
        <f t="shared" si="0"/>
        <v>-1E+30</v>
      </c>
      <c r="J15">
        <f t="shared" si="1"/>
        <v>20.023999999999997</v>
      </c>
    </row>
    <row r="17" spans="1:10" ht="15.75" thickBot="1" x14ac:dyDescent="0.3">
      <c r="A17" t="s">
        <v>156</v>
      </c>
    </row>
    <row r="18" spans="1:10" x14ac:dyDescent="0.25">
      <c r="B18" s="32"/>
      <c r="C18" s="32"/>
      <c r="D18" s="32" t="s">
        <v>147</v>
      </c>
      <c r="E18" s="32" t="s">
        <v>157</v>
      </c>
      <c r="F18" s="32" t="s">
        <v>159</v>
      </c>
      <c r="G18" s="32" t="s">
        <v>153</v>
      </c>
      <c r="H18" s="32" t="s">
        <v>153</v>
      </c>
    </row>
    <row r="19" spans="1:10" ht="15.75" thickBot="1" x14ac:dyDescent="0.3">
      <c r="B19" s="33" t="s">
        <v>145</v>
      </c>
      <c r="C19" s="33" t="s">
        <v>146</v>
      </c>
      <c r="D19" s="33" t="s">
        <v>148</v>
      </c>
      <c r="E19" s="33" t="s">
        <v>158</v>
      </c>
      <c r="F19" s="33" t="s">
        <v>160</v>
      </c>
      <c r="G19" s="33" t="s">
        <v>154</v>
      </c>
      <c r="H19" s="33" t="s">
        <v>155</v>
      </c>
      <c r="I19" s="34" t="s">
        <v>199</v>
      </c>
      <c r="J19" s="34" t="s">
        <v>200</v>
      </c>
    </row>
    <row r="20" spans="1:10" x14ac:dyDescent="0.25">
      <c r="B20" s="30" t="s">
        <v>175</v>
      </c>
      <c r="C20" s="30" t="s">
        <v>176</v>
      </c>
      <c r="D20" s="30">
        <v>1.18</v>
      </c>
      <c r="E20" s="30">
        <v>0</v>
      </c>
      <c r="F20" s="30">
        <v>3</v>
      </c>
      <c r="G20" s="30">
        <v>1E+30</v>
      </c>
      <c r="H20" s="30">
        <v>1.8200000000000003</v>
      </c>
      <c r="I20">
        <f t="shared" si="0"/>
        <v>1.1799999999999997</v>
      </c>
      <c r="J20">
        <f t="shared" si="1"/>
        <v>1E+30</v>
      </c>
    </row>
    <row r="21" spans="1:10" x14ac:dyDescent="0.25">
      <c r="B21" s="30" t="s">
        <v>177</v>
      </c>
      <c r="C21" s="30" t="s">
        <v>178</v>
      </c>
      <c r="D21" s="30">
        <v>5500</v>
      </c>
      <c r="E21" s="30">
        <v>2.3999999999999994E-2</v>
      </c>
      <c r="F21" s="30">
        <v>5500</v>
      </c>
      <c r="G21" s="30">
        <v>333.33333333333366</v>
      </c>
      <c r="H21" s="30">
        <v>395.83333333333303</v>
      </c>
      <c r="I21">
        <f t="shared" si="0"/>
        <v>5104.166666666667</v>
      </c>
      <c r="J21">
        <f t="shared" si="1"/>
        <v>5833.3333333333339</v>
      </c>
    </row>
    <row r="22" spans="1:10" x14ac:dyDescent="0.25">
      <c r="B22" s="30" t="s">
        <v>179</v>
      </c>
      <c r="C22" s="30" t="s">
        <v>180</v>
      </c>
      <c r="D22" s="30">
        <v>17</v>
      </c>
      <c r="E22" s="30">
        <v>0</v>
      </c>
      <c r="F22" s="30">
        <v>30</v>
      </c>
      <c r="G22" s="30">
        <v>1E+30</v>
      </c>
      <c r="H22" s="30">
        <v>13</v>
      </c>
      <c r="I22">
        <f t="shared" si="0"/>
        <v>17</v>
      </c>
      <c r="J22">
        <f t="shared" si="1"/>
        <v>1E+30</v>
      </c>
    </row>
    <row r="23" spans="1:10" x14ac:dyDescent="0.25">
      <c r="B23" s="30" t="s">
        <v>181</v>
      </c>
      <c r="C23" s="30" t="s">
        <v>182</v>
      </c>
      <c r="D23" s="30">
        <v>66</v>
      </c>
      <c r="E23" s="30">
        <v>0</v>
      </c>
      <c r="F23" s="30">
        <v>70</v>
      </c>
      <c r="G23" s="30">
        <v>1E+30</v>
      </c>
      <c r="H23" s="30">
        <v>4.0000000000000036</v>
      </c>
      <c r="I23">
        <f t="shared" si="0"/>
        <v>66</v>
      </c>
      <c r="J23">
        <f t="shared" si="1"/>
        <v>1E+30</v>
      </c>
    </row>
    <row r="24" spans="1:10" x14ac:dyDescent="0.25">
      <c r="B24" s="30" t="s">
        <v>183</v>
      </c>
      <c r="C24" s="30" t="s">
        <v>184</v>
      </c>
      <c r="D24" s="30">
        <v>15.399999999999999</v>
      </c>
      <c r="E24" s="30">
        <v>0</v>
      </c>
      <c r="F24" s="30">
        <v>30</v>
      </c>
      <c r="G24" s="30">
        <v>1E+30</v>
      </c>
      <c r="H24" s="30">
        <v>14.6</v>
      </c>
      <c r="I24">
        <f t="shared" si="0"/>
        <v>15.4</v>
      </c>
      <c r="J24">
        <f t="shared" si="1"/>
        <v>1E+30</v>
      </c>
    </row>
    <row r="25" spans="1:10" x14ac:dyDescent="0.25">
      <c r="B25" s="30" t="s">
        <v>185</v>
      </c>
      <c r="C25" s="30" t="s">
        <v>186</v>
      </c>
      <c r="D25" s="30">
        <v>66</v>
      </c>
      <c r="E25" s="30">
        <v>0</v>
      </c>
      <c r="F25" s="30">
        <v>100</v>
      </c>
      <c r="G25" s="30">
        <v>1E+30</v>
      </c>
      <c r="H25" s="30">
        <v>34</v>
      </c>
      <c r="I25">
        <f t="shared" si="0"/>
        <v>66</v>
      </c>
      <c r="J25">
        <f t="shared" si="1"/>
        <v>1E+30</v>
      </c>
    </row>
    <row r="26" spans="1:10" x14ac:dyDescent="0.25">
      <c r="B26" s="30" t="s">
        <v>187</v>
      </c>
      <c r="C26" s="30" t="s">
        <v>188</v>
      </c>
      <c r="D26" s="30">
        <v>66</v>
      </c>
      <c r="E26" s="30">
        <v>0</v>
      </c>
      <c r="F26" s="30">
        <v>100</v>
      </c>
      <c r="G26" s="30">
        <v>1E+30</v>
      </c>
      <c r="H26" s="30">
        <v>34</v>
      </c>
      <c r="I26">
        <f t="shared" si="0"/>
        <v>66</v>
      </c>
      <c r="J26">
        <f t="shared" si="1"/>
        <v>1E+30</v>
      </c>
    </row>
    <row r="27" spans="1:10" x14ac:dyDescent="0.25">
      <c r="B27" s="30" t="s">
        <v>189</v>
      </c>
      <c r="C27" s="30" t="s">
        <v>190</v>
      </c>
      <c r="D27" s="30">
        <v>46.199999999999996</v>
      </c>
      <c r="E27" s="30">
        <v>0</v>
      </c>
      <c r="F27" s="30">
        <v>50</v>
      </c>
      <c r="G27" s="30">
        <v>1E+30</v>
      </c>
      <c r="H27" s="30">
        <v>3.7999999999999976</v>
      </c>
      <c r="I27">
        <f t="shared" si="0"/>
        <v>46.2</v>
      </c>
      <c r="J27">
        <f t="shared" si="1"/>
        <v>1E+30</v>
      </c>
    </row>
    <row r="28" spans="1:10" x14ac:dyDescent="0.25">
      <c r="B28" s="30" t="s">
        <v>191</v>
      </c>
      <c r="C28" s="30" t="s">
        <v>192</v>
      </c>
      <c r="D28" s="30">
        <v>500</v>
      </c>
      <c r="E28" s="30">
        <v>1.9999999999999998</v>
      </c>
      <c r="F28" s="30">
        <v>500</v>
      </c>
      <c r="G28" s="30">
        <v>18.999999999999986</v>
      </c>
      <c r="H28" s="30">
        <v>186</v>
      </c>
      <c r="I28">
        <f t="shared" si="0"/>
        <v>314</v>
      </c>
      <c r="J28">
        <f t="shared" si="1"/>
        <v>519</v>
      </c>
    </row>
    <row r="29" spans="1:10" x14ac:dyDescent="0.25">
      <c r="B29" s="30" t="s">
        <v>193</v>
      </c>
      <c r="C29" s="30" t="s">
        <v>194</v>
      </c>
      <c r="D29" s="30">
        <v>5</v>
      </c>
      <c r="E29" s="30">
        <v>-3.9999999999999969</v>
      </c>
      <c r="F29" s="30">
        <v>5</v>
      </c>
      <c r="G29" s="30">
        <v>9.4999999999999911</v>
      </c>
      <c r="H29" s="30">
        <v>5</v>
      </c>
      <c r="I29">
        <f t="shared" si="0"/>
        <v>0</v>
      </c>
      <c r="J29">
        <f t="shared" si="1"/>
        <v>14.499999999999991</v>
      </c>
    </row>
    <row r="30" spans="1:10" x14ac:dyDescent="0.25">
      <c r="B30" s="30" t="s">
        <v>195</v>
      </c>
      <c r="C30" s="30" t="s">
        <v>196</v>
      </c>
      <c r="D30" s="30">
        <v>5</v>
      </c>
      <c r="E30" s="30">
        <v>-10.999999999999998</v>
      </c>
      <c r="F30" s="30">
        <v>5</v>
      </c>
      <c r="G30" s="30">
        <v>12.000000000000004</v>
      </c>
      <c r="H30" s="30">
        <v>5</v>
      </c>
      <c r="I30">
        <f t="shared" si="0"/>
        <v>0</v>
      </c>
      <c r="J30">
        <f t="shared" si="1"/>
        <v>17.000000000000004</v>
      </c>
    </row>
    <row r="31" spans="1:10" ht="15.75" thickBot="1" x14ac:dyDescent="0.3">
      <c r="B31" s="31" t="s">
        <v>197</v>
      </c>
      <c r="C31" s="31" t="s">
        <v>198</v>
      </c>
      <c r="D31" s="31">
        <v>15.399999999999999</v>
      </c>
      <c r="E31" s="31">
        <v>0</v>
      </c>
      <c r="F31" s="31">
        <v>3</v>
      </c>
      <c r="G31" s="31">
        <v>12.4</v>
      </c>
      <c r="H31" s="31">
        <v>1E+30</v>
      </c>
      <c r="I31">
        <f t="shared" si="0"/>
        <v>-1E+30</v>
      </c>
      <c r="J31">
        <f t="shared" si="1"/>
        <v>15.4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5C12-CA29-4BF2-976C-69332C5FF0C6}">
  <dimension ref="A2:J17"/>
  <sheetViews>
    <sheetView tabSelected="1" zoomScale="130" zoomScaleNormal="130" workbookViewId="0">
      <selection activeCell="C23" sqref="C23"/>
    </sheetView>
  </sheetViews>
  <sheetFormatPr defaultColWidth="9.140625" defaultRowHeight="15" x14ac:dyDescent="0.25"/>
  <cols>
    <col min="2" max="2" width="16.140625" customWidth="1"/>
    <col min="3" max="3" width="22.5703125" customWidth="1"/>
    <col min="4" max="4" width="18.140625" customWidth="1"/>
    <col min="5" max="5" width="17.140625" customWidth="1"/>
    <col min="6" max="6" width="15.28515625" customWidth="1"/>
    <col min="7" max="7" width="7.140625" customWidth="1"/>
    <col min="8" max="8" width="15.85546875" customWidth="1"/>
    <col min="9" max="9" width="7.5703125" customWidth="1"/>
    <col min="10" max="10" width="5.7109375" customWidth="1"/>
    <col min="11" max="11" width="9.140625" customWidth="1"/>
  </cols>
  <sheetData>
    <row r="2" spans="1:10" x14ac:dyDescent="0.25">
      <c r="C2" s="11" t="s">
        <v>204</v>
      </c>
      <c r="G2" s="65">
        <v>5.5</v>
      </c>
      <c r="H2" s="66" t="s">
        <v>205</v>
      </c>
    </row>
    <row r="3" spans="1:10" x14ac:dyDescent="0.25">
      <c r="C3" s="69" t="s">
        <v>207</v>
      </c>
      <c r="D3" s="69"/>
      <c r="E3" s="69"/>
      <c r="G3" s="65">
        <v>60</v>
      </c>
      <c r="H3" s="66" t="s">
        <v>217</v>
      </c>
    </row>
    <row r="4" spans="1:10" x14ac:dyDescent="0.25">
      <c r="C4" s="35" t="s">
        <v>210</v>
      </c>
      <c r="D4" s="36" t="s">
        <v>208</v>
      </c>
      <c r="E4" s="35" t="s">
        <v>209</v>
      </c>
      <c r="F4" s="11"/>
      <c r="G4" s="65">
        <f>G2*G3</f>
        <v>330</v>
      </c>
      <c r="H4" s="37" t="s">
        <v>206</v>
      </c>
    </row>
    <row r="5" spans="1:10" x14ac:dyDescent="0.25">
      <c r="A5">
        <v>8</v>
      </c>
      <c r="B5" s="35" t="s">
        <v>201</v>
      </c>
      <c r="C5" s="35">
        <v>3</v>
      </c>
      <c r="D5" s="36">
        <v>3</v>
      </c>
      <c r="E5" s="35">
        <v>0.5</v>
      </c>
      <c r="G5" s="70">
        <v>20</v>
      </c>
      <c r="H5" t="s">
        <v>218</v>
      </c>
    </row>
    <row r="6" spans="1:10" x14ac:dyDescent="0.25">
      <c r="A6">
        <v>7</v>
      </c>
      <c r="B6" s="35" t="s">
        <v>202</v>
      </c>
      <c r="C6" s="35">
        <v>6</v>
      </c>
      <c r="D6" s="36">
        <v>0.5</v>
      </c>
      <c r="E6" s="35">
        <v>3</v>
      </c>
    </row>
    <row r="7" spans="1:10" x14ac:dyDescent="0.25">
      <c r="A7">
        <v>5</v>
      </c>
      <c r="B7" s="35" t="s">
        <v>203</v>
      </c>
      <c r="C7" s="35">
        <v>3</v>
      </c>
      <c r="D7" s="36">
        <v>3</v>
      </c>
      <c r="E7" s="35">
        <v>0.5</v>
      </c>
    </row>
    <row r="10" spans="1:10" x14ac:dyDescent="0.25">
      <c r="C10" s="69" t="s">
        <v>211</v>
      </c>
      <c r="D10" s="69"/>
      <c r="E10" s="69"/>
    </row>
    <row r="11" spans="1:10" x14ac:dyDescent="0.25">
      <c r="C11" s="35" t="s">
        <v>210</v>
      </c>
      <c r="D11" s="36" t="s">
        <v>208</v>
      </c>
      <c r="E11" s="35" t="s">
        <v>209</v>
      </c>
    </row>
    <row r="12" spans="1:10" x14ac:dyDescent="0.25">
      <c r="B12" s="35" t="s">
        <v>201</v>
      </c>
      <c r="C12" s="7">
        <v>7</v>
      </c>
      <c r="D12" s="22">
        <v>0</v>
      </c>
      <c r="E12" s="7">
        <v>1</v>
      </c>
      <c r="F12" s="68">
        <f>SUM(C12:E12)</f>
        <v>8</v>
      </c>
      <c r="G12" s="68" t="s">
        <v>213</v>
      </c>
      <c r="H12" s="68">
        <v>8</v>
      </c>
    </row>
    <row r="13" spans="1:10" x14ac:dyDescent="0.25">
      <c r="B13" s="35" t="s">
        <v>202</v>
      </c>
      <c r="C13" s="7">
        <v>1</v>
      </c>
      <c r="D13" s="22">
        <v>5</v>
      </c>
      <c r="E13" s="7">
        <v>1</v>
      </c>
      <c r="F13" s="68">
        <f>SUM(C13:E13)</f>
        <v>7</v>
      </c>
      <c r="G13" s="68" t="s">
        <v>213</v>
      </c>
      <c r="H13" s="68">
        <v>7</v>
      </c>
      <c r="I13" s="67" t="s">
        <v>212</v>
      </c>
      <c r="J13" s="67">
        <f>SUMPRODUCT(C5:E7,C12:E14)</f>
        <v>35.5</v>
      </c>
    </row>
    <row r="14" spans="1:10" x14ac:dyDescent="0.25">
      <c r="B14" s="35" t="s">
        <v>203</v>
      </c>
      <c r="C14" s="7">
        <v>0</v>
      </c>
      <c r="D14" s="22">
        <v>0</v>
      </c>
      <c r="E14" s="7">
        <v>5</v>
      </c>
      <c r="F14" s="68">
        <f>SUM(C14:E14)</f>
        <v>5</v>
      </c>
      <c r="G14" s="68" t="s">
        <v>213</v>
      </c>
      <c r="H14" s="68">
        <v>5</v>
      </c>
    </row>
    <row r="15" spans="1:10" x14ac:dyDescent="0.25">
      <c r="C15" s="68">
        <f>C12+C13+C14</f>
        <v>8</v>
      </c>
      <c r="D15" s="68">
        <f>D12+D13+D14</f>
        <v>5</v>
      </c>
      <c r="E15" s="68">
        <f>E12+E13+E14</f>
        <v>7</v>
      </c>
    </row>
    <row r="16" spans="1:10" x14ac:dyDescent="0.25">
      <c r="C16" s="68" t="s">
        <v>213</v>
      </c>
      <c r="D16" s="68" t="s">
        <v>213</v>
      </c>
      <c r="E16" s="68" t="s">
        <v>213</v>
      </c>
    </row>
    <row r="17" spans="3:5" x14ac:dyDescent="0.25">
      <c r="C17" s="68">
        <v>8</v>
      </c>
      <c r="D17" s="68">
        <v>5</v>
      </c>
      <c r="E17" s="68">
        <v>7</v>
      </c>
    </row>
  </sheetData>
  <mergeCells count="2">
    <mergeCell ref="C3:E3"/>
    <mergeCell ref="C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Modelo</vt:lpstr>
      <vt:lpstr>Eficaz</vt:lpstr>
      <vt:lpstr>Acuerdo (Eficiente)</vt:lpstr>
      <vt:lpstr>Sensibilidad</vt:lpstr>
      <vt:lpstr>Modelo de 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estudianteuc</dc:creator>
  <cp:lastModifiedBy>RICK CB</cp:lastModifiedBy>
  <dcterms:created xsi:type="dcterms:W3CDTF">2026-08-29T19:21:58Z</dcterms:created>
  <dcterms:modified xsi:type="dcterms:W3CDTF">2026-10-02T01:45:47Z</dcterms:modified>
</cp:coreProperties>
</file>