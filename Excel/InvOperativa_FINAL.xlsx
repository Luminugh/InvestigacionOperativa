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ck\Downloads\"/>
    </mc:Choice>
  </mc:AlternateContent>
  <xr:revisionPtr revIDLastSave="0" documentId="13_ncr:1_{B47C48D7-69DF-4112-A527-99F8079FD36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odelo" sheetId="1" r:id="rId1"/>
    <sheet name="Eficaz" sheetId="4" r:id="rId2"/>
    <sheet name="Acuerdo (Eficiente)" sheetId="6" r:id="rId3"/>
  </sheets>
  <definedNames>
    <definedName name="solver_adj" localSheetId="1" hidden="1">Eficaz!$B$3:$B$9</definedName>
    <definedName name="solver_cvg" localSheetId="1" hidden="1">0.0001</definedName>
    <definedName name="solver_drv" localSheetId="1" hidden="1">1</definedName>
    <definedName name="solver_eng" localSheetId="1" hidden="1">2</definedName>
    <definedName name="solver_est" localSheetId="1" hidden="1">1</definedName>
    <definedName name="solver_itr" localSheetId="1" hidden="1">2147483647</definedName>
    <definedName name="solver_lhs1" localSheetId="1" hidden="1">Eficaz!$B$12:$B$20</definedName>
    <definedName name="solver_lhs2" localSheetId="1" hidden="1">Eficaz!$B$22:$B$24</definedName>
    <definedName name="solver_lhs3" localSheetId="1" hidden="1">Eficaz!$B$3:$B$9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3</definedName>
    <definedName name="solver_nwt" localSheetId="1" hidden="1">1</definedName>
    <definedName name="solver_opt" localSheetId="1" hidden="1">Eficaz!$B$36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3</definedName>
    <definedName name="solver_rel3" localSheetId="1" hidden="1">4</definedName>
    <definedName name="solver_rhs1" localSheetId="1" hidden="1">Eficaz!$D$12:$D$20</definedName>
    <definedName name="solver_rhs2" localSheetId="1" hidden="1">Eficaz!$D$22:$D$24</definedName>
    <definedName name="solver_rhs3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6" l="1"/>
  <c r="G12" i="6"/>
  <c r="H14" i="6"/>
  <c r="H15" i="6"/>
  <c r="H16" i="6"/>
  <c r="H17" i="6"/>
  <c r="H18" i="6"/>
  <c r="H19" i="6"/>
  <c r="H20" i="6"/>
  <c r="H12" i="6"/>
  <c r="B36" i="6"/>
  <c r="B24" i="6"/>
  <c r="B23" i="6"/>
  <c r="B22" i="6"/>
  <c r="B20" i="6"/>
  <c r="F20" i="6" s="1"/>
  <c r="B19" i="6"/>
  <c r="E19" i="6" s="1"/>
  <c r="G19" i="6" s="1"/>
  <c r="B18" i="6"/>
  <c r="F18" i="6" s="1"/>
  <c r="B17" i="6"/>
  <c r="F17" i="6" s="1"/>
  <c r="B16" i="6"/>
  <c r="E16" i="6" s="1"/>
  <c r="G16" i="6" s="1"/>
  <c r="B15" i="6"/>
  <c r="F15" i="6" s="1"/>
  <c r="B14" i="6"/>
  <c r="F14" i="6" s="1"/>
  <c r="B13" i="6"/>
  <c r="E13" i="6" s="1"/>
  <c r="H13" i="6" s="1"/>
  <c r="B12" i="6"/>
  <c r="F12" i="6" s="1"/>
  <c r="B36" i="4"/>
  <c r="B15" i="4"/>
  <c r="F15" i="4" s="1"/>
  <c r="G13" i="6" l="1"/>
  <c r="F16" i="6"/>
  <c r="F19" i="6"/>
  <c r="F13" i="6"/>
  <c r="E14" i="6"/>
  <c r="G14" i="6" s="1"/>
  <c r="E17" i="6"/>
  <c r="G17" i="6" s="1"/>
  <c r="E20" i="6"/>
  <c r="G20" i="6" s="1"/>
  <c r="E12" i="6"/>
  <c r="E15" i="6"/>
  <c r="E18" i="6"/>
  <c r="G18" i="6" s="1"/>
  <c r="B18" i="4" l="1"/>
  <c r="B14" i="4"/>
  <c r="B13" i="4"/>
  <c r="F13" i="4" s="1"/>
  <c r="B12" i="4"/>
  <c r="B23" i="4"/>
  <c r="B20" i="4"/>
  <c r="B22" i="4"/>
  <c r="B16" i="4"/>
  <c r="B17" i="4"/>
  <c r="B19" i="4"/>
  <c r="E15" i="4"/>
  <c r="B24" i="4"/>
  <c r="H15" i="4" l="1"/>
  <c r="G15" i="4"/>
  <c r="E17" i="4"/>
  <c r="F17" i="4"/>
  <c r="E16" i="4"/>
  <c r="F16" i="4"/>
  <c r="E12" i="4"/>
  <c r="F12" i="4"/>
  <c r="E20" i="4"/>
  <c r="F20" i="4"/>
  <c r="E19" i="4"/>
  <c r="F19" i="4"/>
  <c r="E14" i="4"/>
  <c r="F14" i="4"/>
  <c r="E18" i="4"/>
  <c r="F18" i="4"/>
  <c r="E13" i="4"/>
  <c r="G16" i="4" l="1"/>
  <c r="H16" i="4"/>
  <c r="H18" i="4"/>
  <c r="G18" i="4"/>
  <c r="G17" i="4"/>
  <c r="H17" i="4"/>
  <c r="H20" i="4"/>
  <c r="G20" i="4"/>
  <c r="G12" i="4"/>
  <c r="H12" i="4"/>
  <c r="H19" i="4"/>
  <c r="G19" i="4"/>
  <c r="H14" i="4"/>
  <c r="G14" i="4"/>
  <c r="G13" i="4"/>
  <c r="H13" i="4"/>
</calcChain>
</file>

<file path=xl/sharedStrings.xml><?xml version="1.0" encoding="utf-8"?>
<sst xmlns="http://schemas.openxmlformats.org/spreadsheetml/2006/main" count="277" uniqueCount="129">
  <si>
    <t>MAKI &amp; RAMEN HOUSE</t>
  </si>
  <si>
    <t>Programación Lineal - Optimización de la producción diaria de Makis y Ramen</t>
  </si>
  <si>
    <t>Objetivo: maximizar los ingresos por ventas (S/) sujeto a la disponibilidad de insumos y tiempo</t>
  </si>
  <si>
    <t>1. DESCRIPCIÓN DEL PROBLEMA</t>
  </si>
  <si>
    <t>Un restaurante nikkei prepara 5 variedades de maki y 2 tipos de ramen. Cada producto consume insumos limitados (salsas, arroz, salmón, langostino, palta, queso crema, fideos) y tiempo de preparación diario. Se desea determinar cuántas unidades de cada producto preparar al día para MAXIMIZAR los ingresos por venta, respetando la disponibilidad de recursos y la demanda mínima de los productos de mayor rotación (Maki Acevichado, Maki Furai y Ramen Especial).</t>
  </si>
  <si>
    <t>2. MODELAMIENTO MATEMÁTICO</t>
  </si>
  <si>
    <t>CUADRO 1. VARIABLES DE DECISIÓN</t>
  </si>
  <si>
    <t>Variable</t>
  </si>
  <si>
    <t>Producto</t>
  </si>
  <si>
    <t>Descripción</t>
  </si>
  <si>
    <t>Unidad</t>
  </si>
  <si>
    <t>X1</t>
  </si>
  <si>
    <t>Maki Acevichado</t>
  </si>
  <si>
    <t>Cantidad a producir al día</t>
  </si>
  <si>
    <t>unidades/día</t>
  </si>
  <si>
    <t>X2</t>
  </si>
  <si>
    <t>Maki California</t>
  </si>
  <si>
    <t>X3</t>
  </si>
  <si>
    <t>Maki Furai</t>
  </si>
  <si>
    <t>X4</t>
  </si>
  <si>
    <t>Maki Salmón</t>
  </si>
  <si>
    <t>X5</t>
  </si>
  <si>
    <t>Maki Tokyo Roll</t>
  </si>
  <si>
    <t>X6</t>
  </si>
  <si>
    <t>Ramen Especial</t>
  </si>
  <si>
    <t>X7</t>
  </si>
  <si>
    <t>Ramen Clásico</t>
  </si>
  <si>
    <t>Con no negatividad:  X1, X2, X3, X4, X5, X6, X7  &gt;= 0</t>
  </si>
  <si>
    <t>CUADRO 2. FUNCIÓN OBJETIVO</t>
  </si>
  <si>
    <t>Maximizar  Z  =  ingresos diarios por venta (S/)</t>
  </si>
  <si>
    <t>Los coeficientes son los precios de venta de cada producto (S/ por unidad):</t>
  </si>
  <si>
    <t>Precio de venta (S/ por unidad)</t>
  </si>
  <si>
    <t>CUADRO 3. RESTRICCIONES</t>
  </si>
  <si>
    <t>N°</t>
  </si>
  <si>
    <t>Recurso</t>
  </si>
  <si>
    <t>Restricción (expresión matemática)</t>
  </si>
  <si>
    <t>Signo</t>
  </si>
  <si>
    <t>Disponible</t>
  </si>
  <si>
    <t>1</t>
  </si>
  <si>
    <t>Salsas (litros)</t>
  </si>
  <si>
    <t>2</t>
  </si>
  <si>
    <t>Arroz (gramos)</t>
  </si>
  <si>
    <t>3</t>
  </si>
  <si>
    <t>Salmón (porciones)</t>
  </si>
  <si>
    <t>4</t>
  </si>
  <si>
    <t>Langostino (porciones)</t>
  </si>
  <si>
    <t>5</t>
  </si>
  <si>
    <t>Palta (porciones)</t>
  </si>
  <si>
    <t>6</t>
  </si>
  <si>
    <t>Queso crema (porciones)</t>
  </si>
  <si>
    <t>7</t>
  </si>
  <si>
    <t>Fideos (unidades)</t>
  </si>
  <si>
    <t>8</t>
  </si>
  <si>
    <t>Tiempo de preparación (min)</t>
  </si>
  <si>
    <t>Demanda mínima Maki Acevichado</t>
  </si>
  <si>
    <t>Demanda mínima Maki Furai</t>
  </si>
  <si>
    <t>Demanda mínima Ramen Especial</t>
  </si>
  <si>
    <t>No negatividad de las variables</t>
  </si>
  <si>
    <t>X1, X2, X3, X4, X5, X6, X7</t>
  </si>
  <si>
    <t>VARIABLES</t>
  </si>
  <si>
    <t>Cant. Maki Acevichado (unid)</t>
  </si>
  <si>
    <t>Cant. Maki California (unid)</t>
  </si>
  <si>
    <t>Cant. Maki Furai (unid)</t>
  </si>
  <si>
    <t>Cant. Maki Salmón (unid)</t>
  </si>
  <si>
    <t>Cant. Maki Tokyo Roll (unid)</t>
  </si>
  <si>
    <t>Cant. Ramen Especial (unid)</t>
  </si>
  <si>
    <t>Cant. Ramen Clásico (unid)</t>
  </si>
  <si>
    <t>RESTRICCIONES</t>
  </si>
  <si>
    <t>Uso</t>
  </si>
  <si>
    <t>SIGNO</t>
  </si>
  <si>
    <t>% de uso</t>
  </si>
  <si>
    <t>Salsas (L)</t>
  </si>
  <si>
    <t>≤</t>
  </si>
  <si>
    <t>Fideos (unidad)</t>
  </si>
  <si>
    <t>Tiempo de Preparación (min)</t>
  </si>
  <si>
    <t>Demanda mínima maki acevichado (unid)</t>
  </si>
  <si>
    <t>≥</t>
  </si>
  <si>
    <t>Demanda mínima maki furai (unid)</t>
  </si>
  <si>
    <t>Demanda mínima ramen especial (unid)</t>
  </si>
  <si>
    <t>COEFICIENTES POR PORCIÓN</t>
  </si>
  <si>
    <t>Arroz (g)</t>
  </si>
  <si>
    <t>Langostino (u)</t>
  </si>
  <si>
    <t>Fideos (u)</t>
  </si>
  <si>
    <t>Tiempo (min)</t>
  </si>
  <si>
    <t>FUNCION OBJETIVO (S/)</t>
  </si>
  <si>
    <t>PRECIOS DE VENTA (S/ por porción)</t>
  </si>
  <si>
    <t>Precio Maki Acevichado</t>
  </si>
  <si>
    <t>Precio Maki California</t>
  </si>
  <si>
    <t>Precio Maki Furai</t>
  </si>
  <si>
    <t>Precio Maki Salmón</t>
  </si>
  <si>
    <t>Precio Maki Tokyo Roll</t>
  </si>
  <si>
    <t>Precio Ramen Especial</t>
  </si>
  <si>
    <t>Precio Ramen Clásico</t>
  </si>
  <si>
    <t>Salmón (porcion)</t>
  </si>
  <si>
    <t>Langostino (unidad)</t>
  </si>
  <si>
    <t>Cerdo (porcion)</t>
  </si>
  <si>
    <t>Palta (porcion)</t>
  </si>
  <si>
    <t>Queso crema (porcion)</t>
  </si>
  <si>
    <t>Interpretación</t>
  </si>
  <si>
    <t>El arroz disponible limita la producción total de makis.</t>
  </si>
  <si>
    <t>El salmón disponible limita X1, X4 y X5.</t>
  </si>
  <si>
    <t>El langostino disponible limita la producción de makis.</t>
  </si>
  <si>
    <t>La palta disponible limita X1, X3 y X5.</t>
  </si>
  <si>
    <t>El queso crema disponible limita X2 y X5.</t>
  </si>
  <si>
    <t>Los fideos disponibles limitan X6 y X7.</t>
  </si>
  <si>
    <t>El tiempo diario disponible limita la mezcla completa.</t>
  </si>
  <si>
    <t>Se deben producir al menos 5 Maki Acevichado.</t>
  </si>
  <si>
    <t>Se deben producir al menos 5 Maki Furai.</t>
  </si>
  <si>
    <t>Se deben producir al menos 5 Ramen Especial.</t>
  </si>
  <si>
    <t>Ninguna variable puede tomar valores negativos.</t>
  </si>
  <si>
    <t>Cantidad (unid/día)</t>
  </si>
  <si>
    <t>SOLUCIÓN SOLVER - IA (MODELO VALIDADO)</t>
  </si>
  <si>
    <t>Estado</t>
  </si>
  <si>
    <t>Diagnóstico</t>
  </si>
  <si>
    <t>SOLUCIÓN EFICIENTE (ACUERDO COMERCIAL Y PRODUCCION)</t>
  </si>
  <si>
    <t>Justificacion</t>
  </si>
  <si>
    <t xml:space="preserve">Leyenda </t>
  </si>
  <si>
    <t>Si</t>
  </si>
  <si>
    <t>⚪ Bajo</t>
  </si>
  <si>
    <t>🟡 Medio</t>
  </si>
  <si>
    <t>🟢 Alto</t>
  </si>
  <si>
    <t>🔴 Crítico</t>
  </si>
  <si>
    <t xml:space="preserve"> X &lt; 50%</t>
  </si>
  <si>
    <t xml:space="preserve"> X ≥ 50%</t>
  </si>
  <si>
    <t xml:space="preserve"> X ≥ 80%</t>
  </si>
  <si>
    <t xml:space="preserve"> X ≥ 95%</t>
  </si>
  <si>
    <t>El consumo de salsas no puede superar 3 litros.</t>
  </si>
  <si>
    <t>Solo X6 utiliza</t>
  </si>
  <si>
    <t>Z = 22.X1 + 20.X2 + 25.X3 + 30.X4 + 28.X5 + 30.X6 + 15.X7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</si>
</sst>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2"/>
      <name val="Calibri"/>
      <family val="2"/>
    </font>
    <font>
      <i/>
      <sz val="1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0"/>
      <name val="Calibri"/>
      <family val="2"/>
    </font>
    <font>
      <b/>
      <sz val="12"/>
      <name val="Calibri"/>
      <family val="2"/>
    </font>
    <font>
      <b/>
      <sz val="13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rgb="FFFFFFFF"/>
      <name val="Arial"/>
      <family val="2"/>
    </font>
    <font>
      <sz val="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rgb="FF444444"/>
        <bgColor rgb="FF444444"/>
      </patternFill>
    </fill>
    <fill>
      <patternFill patternType="solid">
        <fgColor rgb="FF2E7D32"/>
        <bgColor rgb="FF2E7D32"/>
      </patternFill>
    </fill>
    <fill>
      <patternFill patternType="solid">
        <fgColor rgb="FF1B5E20"/>
        <bgColor rgb="FF1B5E20"/>
      </patternFill>
    </fill>
    <fill>
      <patternFill patternType="solid">
        <fgColor rgb="FF1565C0"/>
        <bgColor rgb="FF1565C0"/>
      </patternFill>
    </fill>
    <fill>
      <patternFill patternType="solid">
        <fgColor rgb="FFE3F2FD"/>
        <bgColor rgb="FFE3F2FD"/>
      </patternFill>
    </fill>
    <fill>
      <patternFill patternType="solid">
        <fgColor rgb="FF0D47A1"/>
        <bgColor rgb="FF0D47A1"/>
      </patternFill>
    </fill>
    <fill>
      <patternFill patternType="solid">
        <fgColor rgb="FFE65100"/>
        <bgColor rgb="FFE65100"/>
      </patternFill>
    </fill>
    <fill>
      <patternFill patternType="solid">
        <fgColor rgb="FFBF360C"/>
        <bgColor rgb="FFBF360C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FBE9E7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</patternFill>
    </fill>
    <fill>
      <patternFill patternType="solid">
        <fgColor theme="8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/>
      <right/>
      <top style="thin">
        <color rgb="FF1565C0"/>
      </top>
      <bottom style="thin">
        <color rgb="FF1565C0"/>
      </bottom>
      <diagonal/>
    </border>
    <border>
      <left/>
      <right style="thin">
        <color rgb="FF1565C0"/>
      </right>
      <top style="thin">
        <color rgb="FF1565C0"/>
      </top>
      <bottom style="thin">
        <color rgb="FF1565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1565C0"/>
      </left>
      <right/>
      <top style="thin">
        <color rgb="FF1565C0"/>
      </top>
      <bottom style="thin">
        <color rgb="FF1565C0"/>
      </bottom>
      <diagonal/>
    </border>
    <border>
      <left/>
      <right/>
      <top/>
      <bottom style="thin">
        <color rgb="FF1565C0"/>
      </bottom>
      <diagonal/>
    </border>
    <border>
      <left/>
      <right/>
      <top/>
      <bottom style="thin">
        <color rgb="FF777777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B7C9D6"/>
      </left>
      <right style="thin">
        <color indexed="64"/>
      </right>
      <top style="thin">
        <color rgb="FFB7C9D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B7C9D6"/>
      </top>
      <bottom style="thin">
        <color indexed="64"/>
      </bottom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56">
    <xf numFmtId="0" fontId="0" fillId="0" borderId="0" xfId="0"/>
    <xf numFmtId="0" fontId="7" fillId="5" borderId="9" xfId="0" applyFont="1" applyFill="1" applyBorder="1"/>
    <xf numFmtId="0" fontId="8" fillId="0" borderId="1" xfId="0" applyFont="1" applyBorder="1"/>
    <xf numFmtId="0" fontId="9" fillId="0" borderId="1" xfId="0" applyFont="1" applyBorder="1"/>
    <xf numFmtId="0" fontId="7" fillId="8" borderId="9" xfId="0" applyFont="1" applyFill="1" applyBorder="1"/>
    <xf numFmtId="0" fontId="0" fillId="0" borderId="12" xfId="0" applyBorder="1"/>
    <xf numFmtId="0" fontId="0" fillId="11" borderId="12" xfId="0" applyFill="1" applyBorder="1"/>
    <xf numFmtId="0" fontId="14" fillId="0" borderId="12" xfId="0" applyFont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9" fontId="0" fillId="13" borderId="12" xfId="1" applyFont="1" applyFill="1" applyBorder="1"/>
    <xf numFmtId="0" fontId="14" fillId="0" borderId="0" xfId="0" applyFont="1"/>
    <xf numFmtId="0" fontId="15" fillId="0" borderId="12" xfId="0" applyFont="1" applyBorder="1"/>
    <xf numFmtId="0" fontId="4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4" borderId="0" xfId="0" applyFont="1" applyFill="1"/>
    <xf numFmtId="0" fontId="5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0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7" borderId="13" xfId="0" applyFont="1" applyFill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0" fontId="11" fillId="0" borderId="14" xfId="0" applyFont="1" applyBorder="1" applyAlignment="1">
      <alignment horizontal="left" vertical="center"/>
    </xf>
    <xf numFmtId="0" fontId="6" fillId="9" borderId="15" xfId="0" applyFont="1" applyFill="1" applyBorder="1" applyAlignment="1">
      <alignment horizontal="center"/>
    </xf>
    <xf numFmtId="0" fontId="7" fillId="10" borderId="16" xfId="0" applyFont="1" applyFill="1" applyBorder="1"/>
    <xf numFmtId="0" fontId="0" fillId="15" borderId="12" xfId="0" applyFill="1" applyBorder="1"/>
    <xf numFmtId="0" fontId="17" fillId="16" borderId="17" xfId="0" applyFont="1" applyFill="1" applyBorder="1" applyAlignment="1">
      <alignment horizontal="center" vertical="center"/>
    </xf>
    <xf numFmtId="0" fontId="17" fillId="16" borderId="18" xfId="0" applyFont="1" applyFill="1" applyBorder="1" applyAlignment="1">
      <alignment horizontal="center" vertical="center"/>
    </xf>
    <xf numFmtId="0" fontId="17" fillId="16" borderId="19" xfId="0" applyFont="1" applyFill="1" applyBorder="1" applyAlignment="1">
      <alignment horizontal="center" vertical="center"/>
    </xf>
    <xf numFmtId="0" fontId="17" fillId="16" borderId="20" xfId="0" applyFont="1" applyFill="1" applyBorder="1" applyAlignment="1">
      <alignment horizontal="center" vertical="center"/>
    </xf>
    <xf numFmtId="0" fontId="16" fillId="17" borderId="12" xfId="0" applyFont="1" applyFill="1" applyBorder="1"/>
    <xf numFmtId="0" fontId="16" fillId="17" borderId="12" xfId="0" applyFont="1" applyFill="1" applyBorder="1" applyAlignment="1">
      <alignment horizontal="center" vertical="center"/>
    </xf>
    <xf numFmtId="0" fontId="16" fillId="17" borderId="0" xfId="0" applyFont="1" applyFill="1"/>
    <xf numFmtId="0" fontId="16" fillId="17" borderId="12" xfId="0" applyFont="1" applyFill="1" applyBorder="1" applyAlignment="1">
      <alignment horizontal="center"/>
    </xf>
    <xf numFmtId="0" fontId="16" fillId="17" borderId="21" xfId="0" applyFont="1" applyFill="1" applyBorder="1" applyAlignment="1">
      <alignment horizontal="center"/>
    </xf>
    <xf numFmtId="0" fontId="16" fillId="17" borderId="22" xfId="0" applyFont="1" applyFill="1" applyBorder="1" applyAlignment="1">
      <alignment horizontal="center"/>
    </xf>
    <xf numFmtId="0" fontId="0" fillId="0" borderId="21" xfId="0" applyBorder="1"/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8" fillId="0" borderId="12" xfId="0" applyFont="1" applyBorder="1"/>
    <xf numFmtId="0" fontId="5" fillId="0" borderId="12" xfId="0" applyFont="1" applyBorder="1"/>
    <xf numFmtId="0" fontId="8" fillId="14" borderId="12" xfId="0" applyFont="1" applyFill="1" applyBorder="1"/>
    <xf numFmtId="0" fontId="8" fillId="0" borderId="12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8" fillId="14" borderId="12" xfId="0" applyFont="1" applyFill="1" applyBorder="1" applyAlignment="1">
      <alignment horizontal="left" vertical="top"/>
    </xf>
    <xf numFmtId="0" fontId="9" fillId="0" borderId="12" xfId="0" applyFont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</xdr:colOff>
      <xdr:row>42</xdr:row>
      <xdr:rowOff>17859</xdr:rowOff>
    </xdr:from>
    <xdr:to>
      <xdr:col>2</xdr:col>
      <xdr:colOff>2926929</xdr:colOff>
      <xdr:row>42</xdr:row>
      <xdr:rowOff>208358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A003-876F-C481-C14A-E65151627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20641" y="8203406"/>
          <a:ext cx="2920976" cy="190499"/>
        </a:xfrm>
        <a:prstGeom prst="rect">
          <a:avLst/>
        </a:prstGeom>
      </xdr:spPr>
    </xdr:pic>
    <xdr:clientData/>
  </xdr:twoCellAnchor>
  <xdr:twoCellAnchor editAs="oneCell">
    <xdr:from>
      <xdr:col>2</xdr:col>
      <xdr:colOff>5953</xdr:colOff>
      <xdr:row>43</xdr:row>
      <xdr:rowOff>29766</xdr:rowOff>
    </xdr:from>
    <xdr:to>
      <xdr:col>2</xdr:col>
      <xdr:colOff>2952749</xdr:colOff>
      <xdr:row>43</xdr:row>
      <xdr:rowOff>244078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88CA7D-5899-41E8-1229-F51D4F0A4F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20641" y="8501063"/>
          <a:ext cx="2946796" cy="214312"/>
        </a:xfrm>
        <a:prstGeom prst="rect">
          <a:avLst/>
        </a:prstGeom>
      </xdr:spPr>
    </xdr:pic>
    <xdr:clientData/>
  </xdr:twoCellAnchor>
  <xdr:twoCellAnchor editAs="oneCell">
    <xdr:from>
      <xdr:col>2</xdr:col>
      <xdr:colOff>11908</xdr:colOff>
      <xdr:row>44</xdr:row>
      <xdr:rowOff>29766</xdr:rowOff>
    </xdr:from>
    <xdr:to>
      <xdr:col>2</xdr:col>
      <xdr:colOff>1119188</xdr:colOff>
      <xdr:row>44</xdr:row>
      <xdr:rowOff>263463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6BD0D41-BB9B-08E2-B3D6-A54885B25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26596" y="8786813"/>
          <a:ext cx="1107280" cy="233697"/>
        </a:xfrm>
        <a:prstGeom prst="rect">
          <a:avLst/>
        </a:prstGeom>
      </xdr:spPr>
    </xdr:pic>
    <xdr:clientData/>
  </xdr:twoCellAnchor>
  <xdr:twoCellAnchor editAs="oneCell">
    <xdr:from>
      <xdr:col>2</xdr:col>
      <xdr:colOff>5954</xdr:colOff>
      <xdr:row>45</xdr:row>
      <xdr:rowOff>17861</xdr:rowOff>
    </xdr:from>
    <xdr:to>
      <xdr:col>2</xdr:col>
      <xdr:colOff>2274093</xdr:colOff>
      <xdr:row>45</xdr:row>
      <xdr:rowOff>240957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9F4E87-FD61-1E41-BB40-0592E3758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20642" y="9072564"/>
          <a:ext cx="2268139" cy="223096"/>
        </a:xfrm>
        <a:prstGeom prst="rect">
          <a:avLst/>
        </a:prstGeom>
      </xdr:spPr>
    </xdr:pic>
    <xdr:clientData/>
  </xdr:twoCellAnchor>
  <xdr:twoCellAnchor editAs="oneCell">
    <xdr:from>
      <xdr:col>2</xdr:col>
      <xdr:colOff>17860</xdr:colOff>
      <xdr:row>48</xdr:row>
      <xdr:rowOff>11907</xdr:rowOff>
    </xdr:from>
    <xdr:to>
      <xdr:col>2</xdr:col>
      <xdr:colOff>621507</xdr:colOff>
      <xdr:row>48</xdr:row>
      <xdr:rowOff>244079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3488750-4925-070E-2F58-654D032D4D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32548" y="9780985"/>
          <a:ext cx="603647" cy="232172"/>
        </a:xfrm>
        <a:prstGeom prst="rect">
          <a:avLst/>
        </a:prstGeom>
      </xdr:spPr>
    </xdr:pic>
    <xdr:clientData/>
  </xdr:twoCellAnchor>
  <xdr:twoCellAnchor editAs="oneCell">
    <xdr:from>
      <xdr:col>2</xdr:col>
      <xdr:colOff>29766</xdr:colOff>
      <xdr:row>46</xdr:row>
      <xdr:rowOff>17859</xdr:rowOff>
    </xdr:from>
    <xdr:to>
      <xdr:col>2</xdr:col>
      <xdr:colOff>1964531</xdr:colOff>
      <xdr:row>46</xdr:row>
      <xdr:rowOff>226777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861213A-05CB-2C36-1585-93B44545C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44454" y="9346406"/>
          <a:ext cx="1934765" cy="208918"/>
        </a:xfrm>
        <a:prstGeom prst="rect">
          <a:avLst/>
        </a:prstGeom>
      </xdr:spPr>
    </xdr:pic>
    <xdr:clientData/>
  </xdr:twoCellAnchor>
  <xdr:twoCellAnchor editAs="oneCell">
    <xdr:from>
      <xdr:col>2</xdr:col>
      <xdr:colOff>17859</xdr:colOff>
      <xdr:row>47</xdr:row>
      <xdr:rowOff>17859</xdr:rowOff>
    </xdr:from>
    <xdr:to>
      <xdr:col>2</xdr:col>
      <xdr:colOff>2047874</xdr:colOff>
      <xdr:row>47</xdr:row>
      <xdr:rowOff>226552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01690DF-E8D3-07C4-A4B1-DD8537F5B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32547" y="9596437"/>
          <a:ext cx="2030015" cy="208693"/>
        </a:xfrm>
        <a:prstGeom prst="rect">
          <a:avLst/>
        </a:prstGeom>
      </xdr:spPr>
    </xdr:pic>
    <xdr:clientData/>
  </xdr:twoCellAnchor>
  <xdr:twoCellAnchor editAs="oneCell">
    <xdr:from>
      <xdr:col>2</xdr:col>
      <xdr:colOff>17860</xdr:colOff>
      <xdr:row>50</xdr:row>
      <xdr:rowOff>23813</xdr:rowOff>
    </xdr:from>
    <xdr:to>
      <xdr:col>2</xdr:col>
      <xdr:colOff>345282</xdr:colOff>
      <xdr:row>50</xdr:row>
      <xdr:rowOff>259148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9DC8F1E-B932-D171-2D29-9A5A5D27E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232548" y="10292954"/>
          <a:ext cx="327422" cy="235335"/>
        </a:xfrm>
        <a:prstGeom prst="rect">
          <a:avLst/>
        </a:prstGeom>
      </xdr:spPr>
    </xdr:pic>
    <xdr:clientData/>
  </xdr:twoCellAnchor>
  <xdr:twoCellAnchor editAs="oneCell">
    <xdr:from>
      <xdr:col>2</xdr:col>
      <xdr:colOff>59531</xdr:colOff>
      <xdr:row>49</xdr:row>
      <xdr:rowOff>59532</xdr:rowOff>
    </xdr:from>
    <xdr:to>
      <xdr:col>2</xdr:col>
      <xdr:colOff>2976562</xdr:colOff>
      <xdr:row>49</xdr:row>
      <xdr:rowOff>201727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455E583-4776-7FA3-2FFF-5109C087F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274219" y="10138173"/>
          <a:ext cx="2917031" cy="1421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9" zoomScale="115" zoomScaleNormal="115" workbookViewId="0">
      <selection sqref="A1:F55"/>
    </sheetView>
  </sheetViews>
  <sheetFormatPr defaultColWidth="9.140625" defaultRowHeight="15" x14ac:dyDescent="0.25"/>
  <cols>
    <col min="1" max="1" width="15.85546875" bestFit="1" customWidth="1"/>
    <col min="2" max="2" width="32.28515625" customWidth="1"/>
    <col min="3" max="3" width="45" bestFit="1" customWidth="1"/>
    <col min="4" max="4" width="12.5703125" bestFit="1" customWidth="1"/>
    <col min="5" max="5" width="10.5703125" customWidth="1"/>
    <col min="6" max="6" width="51" customWidth="1"/>
  </cols>
  <sheetData>
    <row r="1" spans="1:6" x14ac:dyDescent="0.25">
      <c r="A1" s="14" t="s">
        <v>0</v>
      </c>
      <c r="B1" s="13"/>
      <c r="C1" s="13"/>
      <c r="D1" s="13"/>
      <c r="E1" s="13"/>
      <c r="F1" s="13"/>
    </row>
    <row r="2" spans="1:6" x14ac:dyDescent="0.25">
      <c r="A2" s="13"/>
      <c r="B2" s="13"/>
      <c r="C2" s="13"/>
      <c r="D2" s="13"/>
      <c r="E2" s="13"/>
      <c r="F2" s="13"/>
    </row>
    <row r="3" spans="1:6" ht="15.75" x14ac:dyDescent="0.25">
      <c r="A3" s="26" t="s">
        <v>1</v>
      </c>
      <c r="B3" s="13"/>
      <c r="C3" s="13"/>
      <c r="D3" s="13"/>
      <c r="E3" s="13"/>
      <c r="F3" s="13"/>
    </row>
    <row r="4" spans="1:6" x14ac:dyDescent="0.25">
      <c r="A4" s="25" t="s">
        <v>2</v>
      </c>
      <c r="B4" s="13"/>
      <c r="C4" s="13"/>
      <c r="D4" s="13"/>
      <c r="E4" s="13"/>
      <c r="F4" s="13"/>
    </row>
    <row r="6" spans="1:6" ht="18.75" x14ac:dyDescent="0.25">
      <c r="A6" s="12" t="s">
        <v>3</v>
      </c>
      <c r="B6" s="13"/>
      <c r="C6" s="13"/>
      <c r="D6" s="13"/>
      <c r="E6" s="13"/>
      <c r="F6" s="13"/>
    </row>
    <row r="7" spans="1:6" x14ac:dyDescent="0.25">
      <c r="A7" s="16" t="s">
        <v>4</v>
      </c>
      <c r="B7" s="17"/>
      <c r="C7" s="17"/>
      <c r="D7" s="17"/>
      <c r="E7" s="17"/>
      <c r="F7" s="18"/>
    </row>
    <row r="8" spans="1:6" x14ac:dyDescent="0.25">
      <c r="A8" s="19"/>
      <c r="B8" s="13"/>
      <c r="C8" s="13"/>
      <c r="D8" s="13"/>
      <c r="E8" s="13"/>
      <c r="F8" s="20"/>
    </row>
    <row r="9" spans="1:6" x14ac:dyDescent="0.25">
      <c r="A9" s="21"/>
      <c r="B9" s="22"/>
      <c r="C9" s="22"/>
      <c r="D9" s="22"/>
      <c r="E9" s="22"/>
      <c r="F9" s="23"/>
    </row>
    <row r="13" spans="1:6" ht="18.75" x14ac:dyDescent="0.25">
      <c r="A13" s="12" t="s">
        <v>5</v>
      </c>
      <c r="B13" s="13"/>
      <c r="C13" s="13"/>
      <c r="D13" s="13"/>
      <c r="E13" s="13"/>
      <c r="F13" s="13"/>
    </row>
    <row r="15" spans="1:6" ht="15.75" x14ac:dyDescent="0.25">
      <c r="A15" s="15" t="s">
        <v>6</v>
      </c>
      <c r="B15" s="15"/>
      <c r="C15" s="15"/>
      <c r="D15" s="15"/>
    </row>
    <row r="16" spans="1:6" x14ac:dyDescent="0.25">
      <c r="A16" s="1" t="s">
        <v>7</v>
      </c>
      <c r="B16" s="1" t="s">
        <v>8</v>
      </c>
      <c r="C16" s="1" t="s">
        <v>9</v>
      </c>
      <c r="D16" s="1" t="s">
        <v>10</v>
      </c>
    </row>
    <row r="17" spans="1:5" x14ac:dyDescent="0.25">
      <c r="A17" s="3" t="s">
        <v>11</v>
      </c>
      <c r="B17" s="3" t="s">
        <v>12</v>
      </c>
      <c r="C17" s="2" t="s">
        <v>13</v>
      </c>
      <c r="D17" s="2" t="s">
        <v>14</v>
      </c>
    </row>
    <row r="18" spans="1:5" x14ac:dyDescent="0.25">
      <c r="A18" s="3" t="s">
        <v>15</v>
      </c>
      <c r="B18" s="3" t="s">
        <v>16</v>
      </c>
      <c r="C18" s="2" t="s">
        <v>13</v>
      </c>
      <c r="D18" s="2" t="s">
        <v>14</v>
      </c>
    </row>
    <row r="19" spans="1:5" x14ac:dyDescent="0.25">
      <c r="A19" s="3" t="s">
        <v>17</v>
      </c>
      <c r="B19" s="3" t="s">
        <v>18</v>
      </c>
      <c r="C19" s="2" t="s">
        <v>13</v>
      </c>
      <c r="D19" s="2" t="s">
        <v>14</v>
      </c>
    </row>
    <row r="20" spans="1:5" x14ac:dyDescent="0.25">
      <c r="A20" s="3" t="s">
        <v>19</v>
      </c>
      <c r="B20" s="3" t="s">
        <v>20</v>
      </c>
      <c r="C20" s="2" t="s">
        <v>13</v>
      </c>
      <c r="D20" s="2" t="s">
        <v>14</v>
      </c>
    </row>
    <row r="21" spans="1:5" x14ac:dyDescent="0.25">
      <c r="A21" s="3" t="s">
        <v>21</v>
      </c>
      <c r="B21" s="3" t="s">
        <v>22</v>
      </c>
      <c r="C21" s="2" t="s">
        <v>13</v>
      </c>
      <c r="D21" s="2" t="s">
        <v>14</v>
      </c>
    </row>
    <row r="22" spans="1:5" x14ac:dyDescent="0.25">
      <c r="A22" s="3" t="s">
        <v>23</v>
      </c>
      <c r="B22" s="3" t="s">
        <v>24</v>
      </c>
      <c r="C22" s="2" t="s">
        <v>13</v>
      </c>
      <c r="D22" s="2" t="s">
        <v>14</v>
      </c>
    </row>
    <row r="23" spans="1:5" x14ac:dyDescent="0.25">
      <c r="A23" s="3" t="s">
        <v>25</v>
      </c>
      <c r="B23" s="3" t="s">
        <v>26</v>
      </c>
      <c r="C23" s="2" t="s">
        <v>13</v>
      </c>
      <c r="D23" s="2" t="s">
        <v>14</v>
      </c>
    </row>
    <row r="24" spans="1:5" x14ac:dyDescent="0.25">
      <c r="A24" s="24" t="s">
        <v>27</v>
      </c>
      <c r="B24" s="13"/>
      <c r="C24" s="13"/>
      <c r="D24" s="13"/>
    </row>
    <row r="27" spans="1:5" ht="15.75" x14ac:dyDescent="0.25">
      <c r="A27" s="30" t="s">
        <v>28</v>
      </c>
      <c r="B27" s="30"/>
      <c r="C27" s="30"/>
      <c r="D27" s="30"/>
      <c r="E27" s="30"/>
    </row>
    <row r="28" spans="1:5" ht="15.75" x14ac:dyDescent="0.25">
      <c r="A28" s="31" t="s">
        <v>29</v>
      </c>
      <c r="B28" s="31"/>
      <c r="C28" s="31"/>
      <c r="D28" s="31"/>
      <c r="E28" s="31"/>
    </row>
    <row r="29" spans="1:5" ht="17.25" x14ac:dyDescent="0.25">
      <c r="A29" s="27" t="s">
        <v>128</v>
      </c>
      <c r="B29" s="28"/>
      <c r="C29" s="28"/>
      <c r="D29" s="28"/>
      <c r="E29" s="29"/>
    </row>
    <row r="30" spans="1:5" x14ac:dyDescent="0.25">
      <c r="A30" s="24" t="s">
        <v>30</v>
      </c>
      <c r="B30" s="13"/>
      <c r="C30" s="13"/>
      <c r="D30" s="13"/>
      <c r="E30" s="13"/>
    </row>
    <row r="32" spans="1:5" x14ac:dyDescent="0.25">
      <c r="A32" s="4" t="s">
        <v>8</v>
      </c>
      <c r="B32" s="4" t="s">
        <v>7</v>
      </c>
      <c r="C32" s="4" t="s">
        <v>31</v>
      </c>
    </row>
    <row r="33" spans="1:6" x14ac:dyDescent="0.25">
      <c r="A33" s="2" t="s">
        <v>12</v>
      </c>
      <c r="B33" s="2" t="s">
        <v>11</v>
      </c>
      <c r="C33" s="5">
        <v>22</v>
      </c>
    </row>
    <row r="34" spans="1:6" x14ac:dyDescent="0.25">
      <c r="A34" s="2" t="s">
        <v>16</v>
      </c>
      <c r="B34" s="2" t="s">
        <v>15</v>
      </c>
      <c r="C34" s="5">
        <v>20</v>
      </c>
    </row>
    <row r="35" spans="1:6" x14ac:dyDescent="0.25">
      <c r="A35" s="2" t="s">
        <v>18</v>
      </c>
      <c r="B35" s="2" t="s">
        <v>17</v>
      </c>
      <c r="C35" s="5">
        <v>25</v>
      </c>
    </row>
    <row r="36" spans="1:6" x14ac:dyDescent="0.25">
      <c r="A36" s="2" t="s">
        <v>20</v>
      </c>
      <c r="B36" s="2" t="s">
        <v>19</v>
      </c>
      <c r="C36" s="5">
        <v>30</v>
      </c>
    </row>
    <row r="37" spans="1:6" x14ac:dyDescent="0.25">
      <c r="A37" s="2" t="s">
        <v>22</v>
      </c>
      <c r="B37" s="2" t="s">
        <v>21</v>
      </c>
      <c r="C37" s="5">
        <v>28</v>
      </c>
    </row>
    <row r="38" spans="1:6" x14ac:dyDescent="0.25">
      <c r="A38" s="2" t="s">
        <v>24</v>
      </c>
      <c r="B38" s="2" t="s">
        <v>23</v>
      </c>
      <c r="C38" s="5">
        <v>30</v>
      </c>
    </row>
    <row r="39" spans="1:6" x14ac:dyDescent="0.25">
      <c r="A39" s="2" t="s">
        <v>26</v>
      </c>
      <c r="B39" s="2" t="s">
        <v>25</v>
      </c>
      <c r="C39" s="5">
        <v>15</v>
      </c>
    </row>
    <row r="41" spans="1:6" ht="15.75" x14ac:dyDescent="0.25">
      <c r="A41" s="32" t="s">
        <v>32</v>
      </c>
      <c r="B41" s="32"/>
      <c r="C41" s="32"/>
      <c r="D41" s="32"/>
      <c r="E41" s="32"/>
      <c r="F41" s="32"/>
    </row>
    <row r="42" spans="1:6" x14ac:dyDescent="0.25">
      <c r="A42" s="33" t="s">
        <v>33</v>
      </c>
      <c r="B42" s="33" t="s">
        <v>34</v>
      </c>
      <c r="C42" s="33" t="s">
        <v>35</v>
      </c>
      <c r="D42" s="33" t="s">
        <v>36</v>
      </c>
      <c r="E42" s="33" t="s">
        <v>37</v>
      </c>
      <c r="F42" s="33" t="s">
        <v>98</v>
      </c>
    </row>
    <row r="43" spans="1:6" ht="22.5" customHeight="1" x14ac:dyDescent="0.25">
      <c r="A43" s="51" t="s">
        <v>38</v>
      </c>
      <c r="B43" s="48" t="s">
        <v>39</v>
      </c>
      <c r="C43" s="49"/>
      <c r="D43" s="54" t="s">
        <v>72</v>
      </c>
      <c r="E43" s="54">
        <v>3</v>
      </c>
      <c r="F43" s="5" t="s">
        <v>126</v>
      </c>
    </row>
    <row r="44" spans="1:6" ht="22.5" customHeight="1" x14ac:dyDescent="0.25">
      <c r="A44" s="51" t="s">
        <v>40</v>
      </c>
      <c r="B44" s="48" t="s">
        <v>41</v>
      </c>
      <c r="C44" s="49"/>
      <c r="D44" s="54" t="s">
        <v>72</v>
      </c>
      <c r="E44" s="54">
        <v>5500</v>
      </c>
      <c r="F44" s="5" t="s">
        <v>99</v>
      </c>
    </row>
    <row r="45" spans="1:6" ht="23.25" customHeight="1" x14ac:dyDescent="0.25">
      <c r="A45" s="51" t="s">
        <v>42</v>
      </c>
      <c r="B45" s="48" t="s">
        <v>43</v>
      </c>
      <c r="C45" s="48"/>
      <c r="D45" s="54" t="s">
        <v>72</v>
      </c>
      <c r="E45" s="54">
        <v>30</v>
      </c>
      <c r="F45" s="5" t="s">
        <v>100</v>
      </c>
    </row>
    <row r="46" spans="1:6" ht="21.75" customHeight="1" x14ac:dyDescent="0.25">
      <c r="A46" s="51" t="s">
        <v>44</v>
      </c>
      <c r="B46" s="48" t="s">
        <v>45</v>
      </c>
      <c r="C46" s="48"/>
      <c r="D46" s="54" t="s">
        <v>72</v>
      </c>
      <c r="E46" s="54">
        <v>70</v>
      </c>
      <c r="F46" s="5" t="s">
        <v>101</v>
      </c>
    </row>
    <row r="47" spans="1:6" ht="19.5" customHeight="1" x14ac:dyDescent="0.25">
      <c r="A47" s="51" t="s">
        <v>46</v>
      </c>
      <c r="B47" s="48" t="s">
        <v>47</v>
      </c>
      <c r="C47" s="49"/>
      <c r="D47" s="54" t="s">
        <v>72</v>
      </c>
      <c r="E47" s="54">
        <v>100</v>
      </c>
      <c r="F47" s="5" t="s">
        <v>102</v>
      </c>
    </row>
    <row r="48" spans="1:6" ht="19.5" customHeight="1" x14ac:dyDescent="0.25">
      <c r="A48" s="51" t="s">
        <v>48</v>
      </c>
      <c r="B48" s="48" t="s">
        <v>49</v>
      </c>
      <c r="D48" s="54" t="s">
        <v>72</v>
      </c>
      <c r="E48" s="54">
        <v>100</v>
      </c>
      <c r="F48" s="5" t="s">
        <v>103</v>
      </c>
    </row>
    <row r="49" spans="1:6" ht="19.5" customHeight="1" x14ac:dyDescent="0.25">
      <c r="A49" s="51" t="s">
        <v>50</v>
      </c>
      <c r="B49" s="48" t="s">
        <v>51</v>
      </c>
      <c r="C49" s="48"/>
      <c r="D49" s="54" t="s">
        <v>72</v>
      </c>
      <c r="E49" s="54">
        <v>30</v>
      </c>
      <c r="F49" s="5" t="s">
        <v>104</v>
      </c>
    </row>
    <row r="50" spans="1:6" ht="19.5" customHeight="1" x14ac:dyDescent="0.25">
      <c r="A50" s="51" t="s">
        <v>52</v>
      </c>
      <c r="B50" s="49" t="s">
        <v>53</v>
      </c>
      <c r="C50" s="48"/>
      <c r="D50" s="54" t="s">
        <v>72</v>
      </c>
      <c r="E50" s="54">
        <v>400</v>
      </c>
      <c r="F50" s="5" t="s">
        <v>105</v>
      </c>
    </row>
    <row r="51" spans="1:6" ht="21" customHeight="1" x14ac:dyDescent="0.25">
      <c r="A51" s="52">
        <v>9</v>
      </c>
      <c r="B51" s="5" t="s">
        <v>95</v>
      </c>
      <c r="C51" s="5"/>
      <c r="D51" s="54" t="s">
        <v>72</v>
      </c>
      <c r="E51" s="7">
        <v>50</v>
      </c>
      <c r="F51" s="5" t="s">
        <v>127</v>
      </c>
    </row>
    <row r="52" spans="1:6" x14ac:dyDescent="0.25">
      <c r="A52" s="53">
        <v>10</v>
      </c>
      <c r="B52" s="50" t="s">
        <v>54</v>
      </c>
      <c r="C52" s="50" t="s">
        <v>11</v>
      </c>
      <c r="D52" s="55" t="s">
        <v>76</v>
      </c>
      <c r="E52" s="55">
        <v>5</v>
      </c>
      <c r="F52" s="34" t="s">
        <v>106</v>
      </c>
    </row>
    <row r="53" spans="1:6" x14ac:dyDescent="0.25">
      <c r="A53" s="53">
        <v>11</v>
      </c>
      <c r="B53" s="50" t="s">
        <v>55</v>
      </c>
      <c r="C53" s="50" t="s">
        <v>17</v>
      </c>
      <c r="D53" s="55" t="s">
        <v>76</v>
      </c>
      <c r="E53" s="55">
        <v>5</v>
      </c>
      <c r="F53" s="34" t="s">
        <v>107</v>
      </c>
    </row>
    <row r="54" spans="1:6" x14ac:dyDescent="0.25">
      <c r="A54" s="53">
        <v>12</v>
      </c>
      <c r="B54" s="50" t="s">
        <v>56</v>
      </c>
      <c r="C54" s="50" t="s">
        <v>23</v>
      </c>
      <c r="D54" s="55" t="s">
        <v>76</v>
      </c>
      <c r="E54" s="55">
        <v>5</v>
      </c>
      <c r="F54" s="34" t="s">
        <v>108</v>
      </c>
    </row>
    <row r="55" spans="1:6" x14ac:dyDescent="0.25">
      <c r="A55" s="53">
        <v>13</v>
      </c>
      <c r="B55" s="50" t="s">
        <v>57</v>
      </c>
      <c r="C55" s="50" t="s">
        <v>58</v>
      </c>
      <c r="D55" s="55" t="s">
        <v>76</v>
      </c>
      <c r="E55" s="55">
        <v>0</v>
      </c>
      <c r="F55" s="34" t="s">
        <v>109</v>
      </c>
    </row>
  </sheetData>
  <mergeCells count="13">
    <mergeCell ref="A13:F13"/>
    <mergeCell ref="A28:E28"/>
    <mergeCell ref="A1:F2"/>
    <mergeCell ref="A15:D15"/>
    <mergeCell ref="A6:F6"/>
    <mergeCell ref="A7:F9"/>
    <mergeCell ref="A24:D24"/>
    <mergeCell ref="A4:F4"/>
    <mergeCell ref="A3:F3"/>
    <mergeCell ref="A27:E27"/>
    <mergeCell ref="A30:E30"/>
    <mergeCell ref="A29:E29"/>
    <mergeCell ref="A41:F41"/>
  </mergeCells>
  <phoneticPr fontId="18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C57A6-28AD-46AF-A90E-A1548ECDF365}">
  <dimension ref="A1:J45"/>
  <sheetViews>
    <sheetView tabSelected="1" zoomScale="70" zoomScaleNormal="70" workbookViewId="0">
      <selection activeCell="L22" sqref="L22"/>
    </sheetView>
  </sheetViews>
  <sheetFormatPr defaultColWidth="11.42578125" defaultRowHeight="15" x14ac:dyDescent="0.25"/>
  <cols>
    <col min="1" max="1" width="40.7109375" bestFit="1" customWidth="1"/>
    <col min="2" max="2" width="23.85546875" bestFit="1" customWidth="1"/>
    <col min="4" max="4" width="16.28515625" bestFit="1" customWidth="1"/>
    <col min="5" max="5" width="13.5703125" bestFit="1" customWidth="1"/>
    <col min="6" max="6" width="16.140625" customWidth="1"/>
    <col min="7" max="7" width="14.140625" bestFit="1" customWidth="1"/>
    <col min="8" max="8" width="21.5703125" bestFit="1" customWidth="1"/>
    <col min="9" max="9" width="15.5703125" customWidth="1"/>
    <col min="10" max="10" width="14.42578125" customWidth="1"/>
  </cols>
  <sheetData>
    <row r="1" spans="1:10" ht="18" x14ac:dyDescent="0.25">
      <c r="A1" s="35" t="s">
        <v>111</v>
      </c>
      <c r="B1" s="36"/>
      <c r="C1" s="37"/>
      <c r="D1" s="37"/>
      <c r="E1" s="37"/>
      <c r="F1" s="37"/>
      <c r="G1" s="37"/>
      <c r="H1" s="37"/>
      <c r="I1" s="37"/>
      <c r="J1" s="38"/>
    </row>
    <row r="2" spans="1:10" x14ac:dyDescent="0.25">
      <c r="A2" s="39" t="s">
        <v>59</v>
      </c>
      <c r="B2" s="39" t="s">
        <v>110</v>
      </c>
    </row>
    <row r="3" spans="1:10" x14ac:dyDescent="0.25">
      <c r="A3" s="5" t="s">
        <v>60</v>
      </c>
      <c r="B3" s="6">
        <v>5</v>
      </c>
    </row>
    <row r="4" spans="1:10" x14ac:dyDescent="0.25">
      <c r="A4" s="5" t="s">
        <v>61</v>
      </c>
      <c r="B4" s="6">
        <v>0</v>
      </c>
    </row>
    <row r="5" spans="1:10" x14ac:dyDescent="0.25">
      <c r="A5" s="5" t="s">
        <v>62</v>
      </c>
      <c r="B5" s="6">
        <v>5</v>
      </c>
      <c r="F5" s="39" t="s">
        <v>116</v>
      </c>
      <c r="G5" s="40" t="s">
        <v>117</v>
      </c>
    </row>
    <row r="6" spans="1:10" x14ac:dyDescent="0.25">
      <c r="A6" s="5" t="s">
        <v>63</v>
      </c>
      <c r="B6" s="6">
        <v>12</v>
      </c>
      <c r="F6" s="5" t="s">
        <v>118</v>
      </c>
      <c r="G6" s="47" t="s">
        <v>122</v>
      </c>
    </row>
    <row r="7" spans="1:10" x14ac:dyDescent="0.25">
      <c r="A7" s="5" t="s">
        <v>64</v>
      </c>
      <c r="B7" s="6">
        <v>0</v>
      </c>
      <c r="F7" s="5" t="s">
        <v>119</v>
      </c>
      <c r="G7" s="47" t="s">
        <v>123</v>
      </c>
    </row>
    <row r="8" spans="1:10" x14ac:dyDescent="0.25">
      <c r="A8" s="5" t="s">
        <v>65</v>
      </c>
      <c r="B8" s="6">
        <v>15</v>
      </c>
      <c r="F8" s="5" t="s">
        <v>120</v>
      </c>
      <c r="G8" s="47" t="s">
        <v>124</v>
      </c>
    </row>
    <row r="9" spans="1:10" x14ac:dyDescent="0.25">
      <c r="A9" s="5" t="s">
        <v>66</v>
      </c>
      <c r="B9" s="6">
        <v>0</v>
      </c>
      <c r="F9" s="5" t="s">
        <v>121</v>
      </c>
      <c r="G9" s="47" t="s">
        <v>125</v>
      </c>
    </row>
    <row r="11" spans="1:10" x14ac:dyDescent="0.25">
      <c r="A11" s="39" t="s">
        <v>67</v>
      </c>
      <c r="B11" s="40" t="s">
        <v>68</v>
      </c>
      <c r="C11" s="40" t="s">
        <v>69</v>
      </c>
      <c r="D11" s="40" t="s">
        <v>37</v>
      </c>
      <c r="E11" s="39" t="s">
        <v>70</v>
      </c>
      <c r="F11" s="41" t="s">
        <v>112</v>
      </c>
      <c r="G11" s="41" t="s">
        <v>113</v>
      </c>
      <c r="H11" s="42" t="s">
        <v>115</v>
      </c>
    </row>
    <row r="12" spans="1:10" x14ac:dyDescent="0.25">
      <c r="A12" s="5" t="s">
        <v>71</v>
      </c>
      <c r="B12" s="8">
        <f>SUMPRODUCT(B$28:B$34,$B$3:$B$9)</f>
        <v>1.18</v>
      </c>
      <c r="C12" s="8" t="s">
        <v>72</v>
      </c>
      <c r="D12" s="8">
        <v>3</v>
      </c>
      <c r="E12" s="9">
        <f>B12/D12</f>
        <v>0.39333333333333331</v>
      </c>
      <c r="F12" s="5" t="str">
        <f>IF(B12&lt;=D12,"✓ OK","✗ EXCEDE")</f>
        <v>✓ OK</v>
      </c>
      <c r="G12" s="45" t="str">
        <f>IF(E12="","",IF(E12&gt;=0.95,"🔴 Crítico",IF(E12&gt;=0.8,"🟢 Alto",IF(E12&gt;=0.5,"🟡 Medio","⚪ Bajo"))))</f>
        <v>⚪ Bajo</v>
      </c>
      <c r="H12" s="46" t="str">
        <f>IF(E12="","",IF(E12&gt;=0.95,"Recomienda aumentar",IF(E12&gt;=0.8,"Revisar",IF(E12&gt;=0.5,"Mantener","Se recomienda reducir"))))</f>
        <v>Se recomienda reducir</v>
      </c>
    </row>
    <row r="13" spans="1:10" x14ac:dyDescent="0.25">
      <c r="A13" s="5" t="s">
        <v>41</v>
      </c>
      <c r="B13" s="8">
        <f>SUMPRODUCT(C$28:C$34,$B$3:$B$9)</f>
        <v>5500</v>
      </c>
      <c r="C13" s="8" t="s">
        <v>72</v>
      </c>
      <c r="D13" s="8">
        <v>5500</v>
      </c>
      <c r="E13" s="9">
        <f>B13/D13</f>
        <v>1</v>
      </c>
      <c r="F13" s="5" t="str">
        <f>IF(B13&lt;=D13,"✓ OK","✗ EXCEDE")</f>
        <v>✓ OK</v>
      </c>
      <c r="G13" s="45" t="str">
        <f>IF(E13="","",IF(E13&gt;=0.95,"🔴 Crítico",IF(E13&gt;=0.8,"🟢 Alto",IF(E13&gt;=0.5,"🟡 Medio","⚪ Bajo"))))</f>
        <v>🔴 Crítico</v>
      </c>
      <c r="H13" s="46" t="str">
        <f>IF(E13="","",IF(E13&gt;=0.95,"Recomienda aumentar",IF(E13&gt;=0.8,"Revisar",IF(E13&gt;=0.5,"Mantener","Se recomienda reducir"))))</f>
        <v>Recomienda aumentar</v>
      </c>
    </row>
    <row r="14" spans="1:10" x14ac:dyDescent="0.25">
      <c r="A14" s="5" t="s">
        <v>43</v>
      </c>
      <c r="B14" s="8">
        <f>SUMPRODUCT(D$28:D$34,$B$3:$B$9)</f>
        <v>17</v>
      </c>
      <c r="C14" s="8" t="s">
        <v>72</v>
      </c>
      <c r="D14" s="8">
        <v>30</v>
      </c>
      <c r="E14" s="9">
        <f t="shared" ref="E14:E16" si="0">B14/D14</f>
        <v>0.56666666666666665</v>
      </c>
      <c r="F14" s="5" t="str">
        <f t="shared" ref="F14:F20" si="1">IF(B14&lt;=D14,"✓ OK","✗ EXCEDE")</f>
        <v>✓ OK</v>
      </c>
      <c r="G14" s="45" t="str">
        <f t="shared" ref="G14:G20" si="2">IF(E14="","",IF(E14&gt;=0.95,"🔴 Crítico",IF(E14&gt;=0.8,"🟢 Alto",IF(E14&gt;=0.5,"🟡 Medio","⚪ Bajo"))))</f>
        <v>🟡 Medio</v>
      </c>
      <c r="H14" s="46" t="str">
        <f t="shared" ref="H14:H20" si="3">IF(E14="","",IF(E14&gt;=0.95,"Recomienda aumentar",IF(E14&gt;=0.8,"Revisar",IF(E14&gt;=0.5,"Mantener","Se recomienda reducir"))))</f>
        <v>Mantener</v>
      </c>
    </row>
    <row r="15" spans="1:10" x14ac:dyDescent="0.25">
      <c r="A15" s="5" t="s">
        <v>94</v>
      </c>
      <c r="B15" s="8">
        <f>SUMPRODUCT(E$28:E$34,$B$3:$B$9)</f>
        <v>66</v>
      </c>
      <c r="C15" s="8" t="s">
        <v>72</v>
      </c>
      <c r="D15" s="8">
        <v>70</v>
      </c>
      <c r="E15" s="9">
        <f t="shared" si="0"/>
        <v>0.94285714285714284</v>
      </c>
      <c r="F15" s="5" t="str">
        <f t="shared" si="1"/>
        <v>✓ OK</v>
      </c>
      <c r="G15" s="45" t="str">
        <f>IF(E15="","",IF(E15&gt;=0.95,"🔴 Crítico",IF(E15&gt;=0.8,"🟢 Alto",IF(E15&gt;=0.5,"🟡 Medio","⚪ Bajo"))))</f>
        <v>🟢 Alto</v>
      </c>
      <c r="H15" s="46" t="str">
        <f t="shared" si="3"/>
        <v>Revisar</v>
      </c>
    </row>
    <row r="16" spans="1:10" x14ac:dyDescent="0.25">
      <c r="A16" s="5" t="s">
        <v>73</v>
      </c>
      <c r="B16" s="8">
        <f>SUMPRODUCT(F$28:F$34,$B$3:$B$9)</f>
        <v>15</v>
      </c>
      <c r="C16" s="8" t="s">
        <v>72</v>
      </c>
      <c r="D16" s="8">
        <v>30</v>
      </c>
      <c r="E16" s="9">
        <f t="shared" si="0"/>
        <v>0.5</v>
      </c>
      <c r="F16" s="5" t="str">
        <f t="shared" si="1"/>
        <v>✓ OK</v>
      </c>
      <c r="G16" s="45" t="str">
        <f t="shared" si="2"/>
        <v>🟡 Medio</v>
      </c>
      <c r="H16" s="46" t="str">
        <f t="shared" si="3"/>
        <v>Mantener</v>
      </c>
    </row>
    <row r="17" spans="1:10" x14ac:dyDescent="0.25">
      <c r="A17" s="5" t="s">
        <v>96</v>
      </c>
      <c r="B17" s="8">
        <f>SUMPRODUCT(G$28:G$34,$B$3:$B$9)</f>
        <v>66</v>
      </c>
      <c r="C17" s="8" t="s">
        <v>72</v>
      </c>
      <c r="D17" s="8">
        <v>100</v>
      </c>
      <c r="E17" s="9">
        <f>B17/D17</f>
        <v>0.66</v>
      </c>
      <c r="F17" s="5" t="str">
        <f t="shared" si="1"/>
        <v>✓ OK</v>
      </c>
      <c r="G17" s="45" t="str">
        <f t="shared" si="2"/>
        <v>🟡 Medio</v>
      </c>
      <c r="H17" s="46" t="str">
        <f t="shared" si="3"/>
        <v>Mantener</v>
      </c>
    </row>
    <row r="18" spans="1:10" x14ac:dyDescent="0.25">
      <c r="A18" s="5" t="s">
        <v>97</v>
      </c>
      <c r="B18" s="8">
        <f>SUMPRODUCT(H$28:H$34,$B$3:$B$9)</f>
        <v>66</v>
      </c>
      <c r="C18" s="8" t="s">
        <v>72</v>
      </c>
      <c r="D18" s="8">
        <v>100</v>
      </c>
      <c r="E18" s="9">
        <f>B18/D18</f>
        <v>0.66</v>
      </c>
      <c r="F18" s="5" t="str">
        <f t="shared" si="1"/>
        <v>✓ OK</v>
      </c>
      <c r="G18" s="45" t="str">
        <f t="shared" si="2"/>
        <v>🟡 Medio</v>
      </c>
      <c r="H18" s="46" t="str">
        <f t="shared" si="3"/>
        <v>Mantener</v>
      </c>
    </row>
    <row r="19" spans="1:10" x14ac:dyDescent="0.25">
      <c r="A19" s="5" t="s">
        <v>95</v>
      </c>
      <c r="B19" s="8">
        <f>SUMPRODUCT(I$28:I$34,$B$3:$B$9)</f>
        <v>45</v>
      </c>
      <c r="C19" s="8" t="s">
        <v>72</v>
      </c>
      <c r="D19" s="8">
        <v>50</v>
      </c>
      <c r="E19" s="9">
        <f>B19/D19</f>
        <v>0.9</v>
      </c>
      <c r="F19" s="5" t="str">
        <f t="shared" si="1"/>
        <v>✓ OK</v>
      </c>
      <c r="G19" s="45" t="str">
        <f t="shared" si="2"/>
        <v>🟢 Alto</v>
      </c>
      <c r="H19" s="46" t="str">
        <f t="shared" si="3"/>
        <v>Revisar</v>
      </c>
    </row>
    <row r="20" spans="1:10" x14ac:dyDescent="0.25">
      <c r="A20" s="5" t="s">
        <v>74</v>
      </c>
      <c r="B20" s="8">
        <f>SUMPRODUCT(J$28:J$34,$B$3:$B$9)</f>
        <v>494</v>
      </c>
      <c r="C20" s="8" t="s">
        <v>72</v>
      </c>
      <c r="D20" s="8">
        <v>500</v>
      </c>
      <c r="E20" s="9">
        <f>B20/D20</f>
        <v>0.98799999999999999</v>
      </c>
      <c r="F20" s="5" t="str">
        <f t="shared" si="1"/>
        <v>✓ OK</v>
      </c>
      <c r="G20" s="45" t="str">
        <f t="shared" si="2"/>
        <v>🔴 Crítico</v>
      </c>
      <c r="H20" s="46" t="str">
        <f t="shared" si="3"/>
        <v>Recomienda aumentar</v>
      </c>
    </row>
    <row r="22" spans="1:10" x14ac:dyDescent="0.25">
      <c r="A22" s="5" t="s">
        <v>75</v>
      </c>
      <c r="B22" s="8">
        <f>B3</f>
        <v>5</v>
      </c>
      <c r="C22" s="8" t="s">
        <v>76</v>
      </c>
      <c r="D22" s="8">
        <v>5</v>
      </c>
    </row>
    <row r="23" spans="1:10" x14ac:dyDescent="0.25">
      <c r="A23" s="5" t="s">
        <v>77</v>
      </c>
      <c r="B23" s="8">
        <f>B5</f>
        <v>5</v>
      </c>
      <c r="C23" s="8" t="s">
        <v>76</v>
      </c>
      <c r="D23" s="8">
        <v>5</v>
      </c>
    </row>
    <row r="24" spans="1:10" x14ac:dyDescent="0.25">
      <c r="A24" s="5" t="s">
        <v>78</v>
      </c>
      <c r="B24" s="8">
        <f>B8</f>
        <v>15</v>
      </c>
      <c r="C24" s="8" t="s">
        <v>76</v>
      </c>
      <c r="D24" s="8">
        <v>3</v>
      </c>
    </row>
    <row r="26" spans="1:10" x14ac:dyDescent="0.25">
      <c r="A26" s="41" t="s">
        <v>79</v>
      </c>
    </row>
    <row r="27" spans="1:10" x14ac:dyDescent="0.25">
      <c r="A27" s="39" t="s">
        <v>8</v>
      </c>
      <c r="B27" s="39" t="s">
        <v>71</v>
      </c>
      <c r="C27" s="39" t="s">
        <v>80</v>
      </c>
      <c r="D27" s="39" t="s">
        <v>93</v>
      </c>
      <c r="E27" s="39" t="s">
        <v>81</v>
      </c>
      <c r="F27" s="39" t="s">
        <v>82</v>
      </c>
      <c r="G27" s="39" t="s">
        <v>96</v>
      </c>
      <c r="H27" s="39" t="s">
        <v>97</v>
      </c>
      <c r="I27" s="39" t="s">
        <v>95</v>
      </c>
      <c r="J27" s="39" t="s">
        <v>83</v>
      </c>
    </row>
    <row r="28" spans="1:10" x14ac:dyDescent="0.25">
      <c r="A28" s="5" t="s">
        <v>12</v>
      </c>
      <c r="B28" s="5">
        <v>0.08</v>
      </c>
      <c r="C28" s="5">
        <v>250</v>
      </c>
      <c r="D28" s="5">
        <v>1</v>
      </c>
      <c r="E28" s="5">
        <v>3</v>
      </c>
      <c r="F28" s="5">
        <v>0</v>
      </c>
      <c r="G28" s="5">
        <v>3</v>
      </c>
      <c r="H28" s="5">
        <v>3</v>
      </c>
      <c r="I28" s="5">
        <v>0</v>
      </c>
      <c r="J28" s="5">
        <v>10</v>
      </c>
    </row>
    <row r="29" spans="1:10" x14ac:dyDescent="0.25">
      <c r="A29" s="5" t="s">
        <v>16</v>
      </c>
      <c r="B29" s="5">
        <v>0.04</v>
      </c>
      <c r="C29" s="5">
        <v>250</v>
      </c>
      <c r="D29" s="5">
        <v>0</v>
      </c>
      <c r="E29" s="5">
        <v>3</v>
      </c>
      <c r="F29" s="5">
        <v>0</v>
      </c>
      <c r="G29" s="5">
        <v>3</v>
      </c>
      <c r="H29" s="5">
        <v>3</v>
      </c>
      <c r="I29" s="5">
        <v>0</v>
      </c>
      <c r="J29" s="5">
        <v>10</v>
      </c>
    </row>
    <row r="30" spans="1:10" x14ac:dyDescent="0.25">
      <c r="A30" s="5" t="s">
        <v>18</v>
      </c>
      <c r="B30" s="5">
        <v>0.06</v>
      </c>
      <c r="C30" s="5">
        <v>250</v>
      </c>
      <c r="D30" s="5">
        <v>0</v>
      </c>
      <c r="E30" s="5">
        <v>3</v>
      </c>
      <c r="F30" s="5">
        <v>0</v>
      </c>
      <c r="G30" s="5">
        <v>3</v>
      </c>
      <c r="H30" s="5">
        <v>3</v>
      </c>
      <c r="I30" s="5">
        <v>0</v>
      </c>
      <c r="J30" s="5">
        <v>15</v>
      </c>
    </row>
    <row r="31" spans="1:10" x14ac:dyDescent="0.25">
      <c r="A31" s="5" t="s">
        <v>20</v>
      </c>
      <c r="B31" s="5">
        <v>0.04</v>
      </c>
      <c r="C31" s="5">
        <v>250</v>
      </c>
      <c r="D31" s="5">
        <v>1</v>
      </c>
      <c r="E31" s="5">
        <v>3</v>
      </c>
      <c r="F31" s="5">
        <v>0</v>
      </c>
      <c r="G31" s="5">
        <v>3</v>
      </c>
      <c r="H31" s="5">
        <v>3</v>
      </c>
      <c r="I31" s="5">
        <v>0</v>
      </c>
      <c r="J31" s="5">
        <v>12</v>
      </c>
    </row>
    <row r="32" spans="1:10" x14ac:dyDescent="0.25">
      <c r="A32" s="5" t="s">
        <v>22</v>
      </c>
      <c r="B32" s="5">
        <v>7.0000000000000007E-2</v>
      </c>
      <c r="C32" s="5">
        <v>250</v>
      </c>
      <c r="D32" s="5">
        <v>1</v>
      </c>
      <c r="E32" s="5">
        <v>3</v>
      </c>
      <c r="F32" s="5">
        <v>0</v>
      </c>
      <c r="G32" s="5">
        <v>3</v>
      </c>
      <c r="H32" s="5">
        <v>3</v>
      </c>
      <c r="I32" s="5">
        <v>0</v>
      </c>
      <c r="J32" s="5">
        <v>12</v>
      </c>
    </row>
    <row r="33" spans="1:10" x14ac:dyDescent="0.25">
      <c r="A33" s="5" t="s">
        <v>24</v>
      </c>
      <c r="B33" s="5">
        <v>0</v>
      </c>
      <c r="C33" s="5">
        <v>0</v>
      </c>
      <c r="D33" s="5">
        <v>0</v>
      </c>
      <c r="E33" s="5">
        <v>0</v>
      </c>
      <c r="F33" s="5">
        <v>1</v>
      </c>
      <c r="G33" s="5">
        <v>0</v>
      </c>
      <c r="H33" s="5">
        <v>0</v>
      </c>
      <c r="I33" s="5">
        <v>3</v>
      </c>
      <c r="J33" s="5">
        <v>15</v>
      </c>
    </row>
    <row r="34" spans="1:10" x14ac:dyDescent="0.25">
      <c r="A34" s="5" t="s">
        <v>26</v>
      </c>
      <c r="B34" s="5">
        <v>0</v>
      </c>
      <c r="C34" s="5">
        <v>0</v>
      </c>
      <c r="D34" s="5">
        <v>0</v>
      </c>
      <c r="E34" s="5">
        <v>0</v>
      </c>
      <c r="F34" s="5">
        <v>1</v>
      </c>
      <c r="G34" s="5">
        <v>0</v>
      </c>
      <c r="H34" s="5">
        <v>0</v>
      </c>
      <c r="I34" s="5">
        <v>0</v>
      </c>
      <c r="J34" s="5">
        <v>10</v>
      </c>
    </row>
    <row r="36" spans="1:10" x14ac:dyDescent="0.25">
      <c r="A36" s="39" t="s">
        <v>84</v>
      </c>
      <c r="B36" s="11">
        <f>SUMPRODUCT(B3:B9,B39:B45)</f>
        <v>1045</v>
      </c>
    </row>
    <row r="37" spans="1:10" x14ac:dyDescent="0.25">
      <c r="A37" s="10"/>
    </row>
    <row r="38" spans="1:10" x14ac:dyDescent="0.25">
      <c r="A38" s="43" t="s">
        <v>85</v>
      </c>
      <c r="B38" s="44"/>
    </row>
    <row r="39" spans="1:10" x14ac:dyDescent="0.25">
      <c r="A39" s="5" t="s">
        <v>86</v>
      </c>
      <c r="B39" s="5">
        <v>22</v>
      </c>
    </row>
    <row r="40" spans="1:10" x14ac:dyDescent="0.25">
      <c r="A40" s="5" t="s">
        <v>87</v>
      </c>
      <c r="B40" s="5">
        <v>20</v>
      </c>
    </row>
    <row r="41" spans="1:10" x14ac:dyDescent="0.25">
      <c r="A41" s="5" t="s">
        <v>88</v>
      </c>
      <c r="B41" s="5">
        <v>25</v>
      </c>
    </row>
    <row r="42" spans="1:10" x14ac:dyDescent="0.25">
      <c r="A42" s="5" t="s">
        <v>89</v>
      </c>
      <c r="B42" s="5">
        <v>30</v>
      </c>
    </row>
    <row r="43" spans="1:10" x14ac:dyDescent="0.25">
      <c r="A43" s="5" t="s">
        <v>90</v>
      </c>
      <c r="B43" s="5">
        <v>28</v>
      </c>
    </row>
    <row r="44" spans="1:10" x14ac:dyDescent="0.25">
      <c r="A44" s="5" t="s">
        <v>91</v>
      </c>
      <c r="B44" s="5">
        <v>30</v>
      </c>
    </row>
    <row r="45" spans="1:10" x14ac:dyDescent="0.25">
      <c r="A45" s="5" t="s">
        <v>92</v>
      </c>
      <c r="B45" s="5">
        <v>15</v>
      </c>
    </row>
  </sheetData>
  <mergeCells count="2">
    <mergeCell ref="A1:J1"/>
    <mergeCell ref="A38:B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40C97-5F45-4A38-A9B0-9D3FB3D1C47C}">
  <dimension ref="A1:J45"/>
  <sheetViews>
    <sheetView zoomScale="70" zoomScaleNormal="70" workbookViewId="0">
      <selection activeCell="U18" sqref="U18"/>
    </sheetView>
  </sheetViews>
  <sheetFormatPr defaultRowHeight="15" x14ac:dyDescent="0.25"/>
  <cols>
    <col min="1" max="1" width="40.7109375" bestFit="1" customWidth="1"/>
    <col min="2" max="2" width="18.5703125" bestFit="1" customWidth="1"/>
    <col min="3" max="3" width="12.42578125" customWidth="1"/>
    <col min="4" max="4" width="14.5703125" customWidth="1"/>
    <col min="5" max="5" width="13.7109375" bestFit="1" customWidth="1"/>
    <col min="6" max="6" width="12.5703125" customWidth="1"/>
    <col min="7" max="7" width="18.28515625" customWidth="1"/>
    <col min="8" max="8" width="22.7109375" customWidth="1"/>
    <col min="9" max="9" width="15" bestFit="1" customWidth="1"/>
    <col min="10" max="10" width="13.140625" bestFit="1" customWidth="1"/>
  </cols>
  <sheetData>
    <row r="1" spans="1:10" ht="18" x14ac:dyDescent="0.25">
      <c r="A1" s="35" t="s">
        <v>114</v>
      </c>
      <c r="B1" s="36"/>
      <c r="C1" s="37"/>
      <c r="D1" s="37"/>
      <c r="E1" s="37"/>
      <c r="F1" s="37"/>
      <c r="G1" s="37"/>
      <c r="H1" s="37"/>
      <c r="I1" s="37"/>
      <c r="J1" s="38"/>
    </row>
    <row r="2" spans="1:10" x14ac:dyDescent="0.25">
      <c r="A2" s="39" t="s">
        <v>59</v>
      </c>
      <c r="B2" s="39" t="s">
        <v>110</v>
      </c>
    </row>
    <row r="3" spans="1:10" x14ac:dyDescent="0.25">
      <c r="A3" s="5" t="s">
        <v>60</v>
      </c>
      <c r="B3" s="6">
        <v>10</v>
      </c>
    </row>
    <row r="4" spans="1:10" x14ac:dyDescent="0.25">
      <c r="A4" s="5" t="s">
        <v>61</v>
      </c>
      <c r="B4" s="6">
        <v>1</v>
      </c>
    </row>
    <row r="5" spans="1:10" x14ac:dyDescent="0.25">
      <c r="A5" s="5" t="s">
        <v>62</v>
      </c>
      <c r="B5" s="6">
        <v>5</v>
      </c>
      <c r="F5" s="39" t="s">
        <v>116</v>
      </c>
      <c r="G5" s="40" t="s">
        <v>117</v>
      </c>
    </row>
    <row r="6" spans="1:10" x14ac:dyDescent="0.25">
      <c r="A6" s="5" t="s">
        <v>63</v>
      </c>
      <c r="B6" s="6">
        <v>4</v>
      </c>
      <c r="F6" s="5" t="s">
        <v>118</v>
      </c>
      <c r="G6" s="47" t="s">
        <v>122</v>
      </c>
    </row>
    <row r="7" spans="1:10" x14ac:dyDescent="0.25">
      <c r="A7" s="5" t="s">
        <v>64</v>
      </c>
      <c r="B7" s="6">
        <v>1</v>
      </c>
      <c r="F7" s="5" t="s">
        <v>119</v>
      </c>
      <c r="G7" s="47" t="s">
        <v>123</v>
      </c>
    </row>
    <row r="8" spans="1:10" x14ac:dyDescent="0.25">
      <c r="A8" s="5" t="s">
        <v>65</v>
      </c>
      <c r="B8" s="6">
        <v>9</v>
      </c>
      <c r="F8" s="5" t="s">
        <v>120</v>
      </c>
      <c r="G8" s="47" t="s">
        <v>124</v>
      </c>
    </row>
    <row r="9" spans="1:10" x14ac:dyDescent="0.25">
      <c r="A9" s="5" t="s">
        <v>66</v>
      </c>
      <c r="B9" s="6">
        <v>12</v>
      </c>
      <c r="F9" s="5" t="s">
        <v>121</v>
      </c>
      <c r="G9" s="47" t="s">
        <v>125</v>
      </c>
    </row>
    <row r="11" spans="1:10" x14ac:dyDescent="0.25">
      <c r="A11" s="39" t="s">
        <v>67</v>
      </c>
      <c r="B11" s="40" t="s">
        <v>68</v>
      </c>
      <c r="C11" s="40" t="s">
        <v>69</v>
      </c>
      <c r="D11" s="40" t="s">
        <v>37</v>
      </c>
      <c r="E11" s="39" t="s">
        <v>70</v>
      </c>
      <c r="F11" s="41" t="s">
        <v>112</v>
      </c>
      <c r="G11" s="41" t="s">
        <v>113</v>
      </c>
      <c r="H11" s="42" t="s">
        <v>115</v>
      </c>
    </row>
    <row r="12" spans="1:10" x14ac:dyDescent="0.25">
      <c r="A12" s="5" t="s">
        <v>71</v>
      </c>
      <c r="B12" s="8">
        <f>SUMPRODUCT(B$28:B$34,$B$3:$B$9)</f>
        <v>1.37</v>
      </c>
      <c r="C12" s="8" t="s">
        <v>72</v>
      </c>
      <c r="D12" s="8">
        <v>3</v>
      </c>
      <c r="E12" s="9">
        <f>B12/D12</f>
        <v>0.45666666666666672</v>
      </c>
      <c r="F12" s="5" t="str">
        <f>IF(B12&lt;=D12,"✓ OK","✗ EXCEDE")</f>
        <v>✓ OK</v>
      </c>
      <c r="G12" s="45" t="str">
        <f>IF(E12="","",IF(E12&gt;=0.95,"🔴 Crítico",IF(E12&gt;=0.8,"🟢 Alto",IF(E12&gt;=0.5,"🟡 Medio","⚪ Bajo"))))</f>
        <v>⚪ Bajo</v>
      </c>
      <c r="H12" s="46" t="str">
        <f>IF(E12="","",IF(E12&gt;=0.95,"Recomienda aumentar",IF(E12&gt;=0.8,"Revisar",IF(E12&gt;=0.5,"Mantener","Se recomienda reducir"))))</f>
        <v>Se recomienda reducir</v>
      </c>
    </row>
    <row r="13" spans="1:10" x14ac:dyDescent="0.25">
      <c r="A13" s="5" t="s">
        <v>41</v>
      </c>
      <c r="B13" s="8">
        <f>SUMPRODUCT(C$28:C$34,$B$3:$B$9)</f>
        <v>5250</v>
      </c>
      <c r="C13" s="8" t="s">
        <v>72</v>
      </c>
      <c r="D13" s="8">
        <v>5500</v>
      </c>
      <c r="E13" s="9">
        <f>B13/D13</f>
        <v>0.95454545454545459</v>
      </c>
      <c r="F13" s="5" t="str">
        <f>IF(B13&lt;=D13,"✓ OK","✗ EXCEDE")</f>
        <v>✓ OK</v>
      </c>
      <c r="G13" s="45" t="str">
        <f>IF(E13="","",IF(E13&gt;=0.95,"🔴 Crítico",IF(E13&gt;=0.8,"🟢 Alto",IF(E13&gt;=0.5,"🟡 Medio","⚪ Bajo"))))</f>
        <v>🔴 Crítico</v>
      </c>
      <c r="H13" s="46" t="str">
        <f>IF(E13="","",IF(E13&gt;=0.95,"Recomienda aumentar",IF(E13&gt;=0.8,"Revisar",IF(E13&gt;=0.5,"Mantener","Se recomienda reducir"))))</f>
        <v>Recomienda aumentar</v>
      </c>
    </row>
    <row r="14" spans="1:10" x14ac:dyDescent="0.25">
      <c r="A14" s="5" t="s">
        <v>43</v>
      </c>
      <c r="B14" s="8">
        <f>SUMPRODUCT(D$28:D$34,$B$3:$B$9)</f>
        <v>15</v>
      </c>
      <c r="C14" s="8" t="s">
        <v>72</v>
      </c>
      <c r="D14" s="8">
        <v>30</v>
      </c>
      <c r="E14" s="9">
        <f t="shared" ref="E14:E16" si="0">B14/D14</f>
        <v>0.5</v>
      </c>
      <c r="F14" s="5" t="str">
        <f t="shared" ref="F14:F20" si="1">IF(B14&lt;=D14,"✓ OK","✗ EXCEDE")</f>
        <v>✓ OK</v>
      </c>
      <c r="G14" s="45" t="str">
        <f t="shared" ref="G14:G20" si="2">IF(E14="","",IF(E14&gt;=0.95,"🔴 Crítico",IF(E14&gt;=0.8,"🟢 Alto",IF(E14&gt;=0.5,"🟡 Medio","⚪ Bajo"))))</f>
        <v>🟡 Medio</v>
      </c>
      <c r="H14" s="46" t="str">
        <f t="shared" ref="H14:H20" si="3">IF(E14="","",IF(E14&gt;=0.95,"Recomienda aumentar",IF(E14&gt;=0.8,"Revisar",IF(E14&gt;=0.5,"Mantener","Se recomienda reducir"))))</f>
        <v>Mantener</v>
      </c>
    </row>
    <row r="15" spans="1:10" x14ac:dyDescent="0.25">
      <c r="A15" s="5" t="s">
        <v>94</v>
      </c>
      <c r="B15" s="8">
        <f>SUMPRODUCT(E$28:E$34,$B$3:$B$9)</f>
        <v>63</v>
      </c>
      <c r="C15" s="8" t="s">
        <v>72</v>
      </c>
      <c r="D15" s="8">
        <v>70</v>
      </c>
      <c r="E15" s="9">
        <f t="shared" si="0"/>
        <v>0.9</v>
      </c>
      <c r="F15" s="5" t="str">
        <f t="shared" si="1"/>
        <v>✓ OK</v>
      </c>
      <c r="G15" s="45" t="str">
        <f>IF(E15="","",IF(E15&gt;=0.95,"🔴 Crítico",IF(E15&gt;=0.8,"🟢 Alto",IF(E15&gt;=0.5,"🟡 Medio","⚪ Bajo"))))</f>
        <v>🟢 Alto</v>
      </c>
      <c r="H15" s="46" t="str">
        <f t="shared" si="3"/>
        <v>Revisar</v>
      </c>
    </row>
    <row r="16" spans="1:10" x14ac:dyDescent="0.25">
      <c r="A16" s="5" t="s">
        <v>73</v>
      </c>
      <c r="B16" s="8">
        <f>SUMPRODUCT(F$28:F$34,$B$3:$B$9)</f>
        <v>21</v>
      </c>
      <c r="C16" s="8" t="s">
        <v>72</v>
      </c>
      <c r="D16" s="8">
        <v>30</v>
      </c>
      <c r="E16" s="9">
        <f t="shared" si="0"/>
        <v>0.7</v>
      </c>
      <c r="F16" s="5" t="str">
        <f t="shared" si="1"/>
        <v>✓ OK</v>
      </c>
      <c r="G16" s="45" t="str">
        <f t="shared" si="2"/>
        <v>🟡 Medio</v>
      </c>
      <c r="H16" s="46" t="str">
        <f t="shared" si="3"/>
        <v>Mantener</v>
      </c>
    </row>
    <row r="17" spans="1:10" x14ac:dyDescent="0.25">
      <c r="A17" s="5" t="s">
        <v>96</v>
      </c>
      <c r="B17" s="8">
        <f>SUMPRODUCT(G$28:G$34,$B$3:$B$9)</f>
        <v>63</v>
      </c>
      <c r="C17" s="8" t="s">
        <v>72</v>
      </c>
      <c r="D17" s="8">
        <v>100</v>
      </c>
      <c r="E17" s="9">
        <f>B17/D17</f>
        <v>0.63</v>
      </c>
      <c r="F17" s="5" t="str">
        <f t="shared" si="1"/>
        <v>✓ OK</v>
      </c>
      <c r="G17" s="45" t="str">
        <f t="shared" si="2"/>
        <v>🟡 Medio</v>
      </c>
      <c r="H17" s="46" t="str">
        <f t="shared" si="3"/>
        <v>Mantener</v>
      </c>
    </row>
    <row r="18" spans="1:10" x14ac:dyDescent="0.25">
      <c r="A18" s="5" t="s">
        <v>97</v>
      </c>
      <c r="B18" s="8">
        <f>SUMPRODUCT(H$28:H$34,$B$3:$B$9)</f>
        <v>63</v>
      </c>
      <c r="C18" s="8" t="s">
        <v>72</v>
      </c>
      <c r="D18" s="8">
        <v>100</v>
      </c>
      <c r="E18" s="9">
        <f>B18/D18</f>
        <v>0.63</v>
      </c>
      <c r="F18" s="5" t="str">
        <f t="shared" si="1"/>
        <v>✓ OK</v>
      </c>
      <c r="G18" s="45" t="str">
        <f t="shared" si="2"/>
        <v>🟡 Medio</v>
      </c>
      <c r="H18" s="46" t="str">
        <f t="shared" si="3"/>
        <v>Mantener</v>
      </c>
    </row>
    <row r="19" spans="1:10" x14ac:dyDescent="0.25">
      <c r="A19" s="5" t="s">
        <v>95</v>
      </c>
      <c r="B19" s="8">
        <f>SUMPRODUCT(I$28:I$34,$B$3:$B$9)</f>
        <v>27</v>
      </c>
      <c r="C19" s="8" t="s">
        <v>72</v>
      </c>
      <c r="D19" s="8">
        <v>50</v>
      </c>
      <c r="E19" s="9">
        <f>B19/D19</f>
        <v>0.54</v>
      </c>
      <c r="F19" s="5" t="str">
        <f t="shared" si="1"/>
        <v>✓ OK</v>
      </c>
      <c r="G19" s="45" t="str">
        <f t="shared" si="2"/>
        <v>🟡 Medio</v>
      </c>
      <c r="H19" s="46" t="str">
        <f t="shared" si="3"/>
        <v>Mantener</v>
      </c>
    </row>
    <row r="20" spans="1:10" x14ac:dyDescent="0.25">
      <c r="A20" s="5" t="s">
        <v>74</v>
      </c>
      <c r="B20" s="8">
        <f>SUMPRODUCT(J$28:J$34,$B$3:$B$9)</f>
        <v>500</v>
      </c>
      <c r="C20" s="8" t="s">
        <v>72</v>
      </c>
      <c r="D20" s="8">
        <v>500</v>
      </c>
      <c r="E20" s="9">
        <f>B20/D20</f>
        <v>1</v>
      </c>
      <c r="F20" s="5" t="str">
        <f t="shared" si="1"/>
        <v>✓ OK</v>
      </c>
      <c r="G20" s="45" t="str">
        <f t="shared" si="2"/>
        <v>🔴 Crítico</v>
      </c>
      <c r="H20" s="46" t="str">
        <f t="shared" si="3"/>
        <v>Recomienda aumentar</v>
      </c>
    </row>
    <row r="22" spans="1:10" x14ac:dyDescent="0.25">
      <c r="A22" s="5" t="s">
        <v>75</v>
      </c>
      <c r="B22" s="8">
        <f>B3</f>
        <v>10</v>
      </c>
      <c r="C22" s="8" t="s">
        <v>76</v>
      </c>
      <c r="D22" s="8">
        <v>5</v>
      </c>
    </row>
    <row r="23" spans="1:10" x14ac:dyDescent="0.25">
      <c r="A23" s="5" t="s">
        <v>77</v>
      </c>
      <c r="B23" s="8">
        <f>B5</f>
        <v>5</v>
      </c>
      <c r="C23" s="8" t="s">
        <v>76</v>
      </c>
      <c r="D23" s="8">
        <v>5</v>
      </c>
    </row>
    <row r="24" spans="1:10" x14ac:dyDescent="0.25">
      <c r="A24" s="5" t="s">
        <v>78</v>
      </c>
      <c r="B24" s="8">
        <f>B8</f>
        <v>9</v>
      </c>
      <c r="C24" s="8" t="s">
        <v>76</v>
      </c>
      <c r="D24" s="8">
        <v>3</v>
      </c>
    </row>
    <row r="26" spans="1:10" x14ac:dyDescent="0.25">
      <c r="A26" s="41" t="s">
        <v>79</v>
      </c>
    </row>
    <row r="27" spans="1:10" x14ac:dyDescent="0.25">
      <c r="A27" s="39" t="s">
        <v>8</v>
      </c>
      <c r="B27" s="39" t="s">
        <v>71</v>
      </c>
      <c r="C27" s="39" t="s">
        <v>80</v>
      </c>
      <c r="D27" s="39" t="s">
        <v>93</v>
      </c>
      <c r="E27" s="39" t="s">
        <v>81</v>
      </c>
      <c r="F27" s="39" t="s">
        <v>82</v>
      </c>
      <c r="G27" s="39" t="s">
        <v>96</v>
      </c>
      <c r="H27" s="39" t="s">
        <v>97</v>
      </c>
      <c r="I27" s="39" t="s">
        <v>95</v>
      </c>
      <c r="J27" s="39" t="s">
        <v>83</v>
      </c>
    </row>
    <row r="28" spans="1:10" x14ac:dyDescent="0.25">
      <c r="A28" s="5" t="s">
        <v>12</v>
      </c>
      <c r="B28" s="5">
        <v>0.08</v>
      </c>
      <c r="C28" s="5">
        <v>250</v>
      </c>
      <c r="D28" s="5">
        <v>1</v>
      </c>
      <c r="E28" s="5">
        <v>3</v>
      </c>
      <c r="F28" s="5">
        <v>0</v>
      </c>
      <c r="G28" s="5">
        <v>3</v>
      </c>
      <c r="H28" s="5">
        <v>3</v>
      </c>
      <c r="I28" s="5">
        <v>0</v>
      </c>
      <c r="J28" s="5">
        <v>10</v>
      </c>
    </row>
    <row r="29" spans="1:10" x14ac:dyDescent="0.25">
      <c r="A29" s="5" t="s">
        <v>16</v>
      </c>
      <c r="B29" s="5">
        <v>0.04</v>
      </c>
      <c r="C29" s="5">
        <v>250</v>
      </c>
      <c r="D29" s="5">
        <v>0</v>
      </c>
      <c r="E29" s="5">
        <v>3</v>
      </c>
      <c r="F29" s="5">
        <v>0</v>
      </c>
      <c r="G29" s="5">
        <v>3</v>
      </c>
      <c r="H29" s="5">
        <v>3</v>
      </c>
      <c r="I29" s="5">
        <v>0</v>
      </c>
      <c r="J29" s="5">
        <v>10</v>
      </c>
    </row>
    <row r="30" spans="1:10" x14ac:dyDescent="0.25">
      <c r="A30" s="5" t="s">
        <v>18</v>
      </c>
      <c r="B30" s="5">
        <v>0.06</v>
      </c>
      <c r="C30" s="5">
        <v>250</v>
      </c>
      <c r="D30" s="5">
        <v>0</v>
      </c>
      <c r="E30" s="5">
        <v>3</v>
      </c>
      <c r="F30" s="5">
        <v>0</v>
      </c>
      <c r="G30" s="5">
        <v>3</v>
      </c>
      <c r="H30" s="5">
        <v>3</v>
      </c>
      <c r="I30" s="5">
        <v>0</v>
      </c>
      <c r="J30" s="5">
        <v>15</v>
      </c>
    </row>
    <row r="31" spans="1:10" x14ac:dyDescent="0.25">
      <c r="A31" s="5" t="s">
        <v>20</v>
      </c>
      <c r="B31" s="5">
        <v>0.04</v>
      </c>
      <c r="C31" s="5">
        <v>250</v>
      </c>
      <c r="D31" s="5">
        <v>1</v>
      </c>
      <c r="E31" s="5">
        <v>3</v>
      </c>
      <c r="F31" s="5">
        <v>0</v>
      </c>
      <c r="G31" s="5">
        <v>3</v>
      </c>
      <c r="H31" s="5">
        <v>3</v>
      </c>
      <c r="I31" s="5">
        <v>0</v>
      </c>
      <c r="J31" s="5">
        <v>12</v>
      </c>
    </row>
    <row r="32" spans="1:10" x14ac:dyDescent="0.25">
      <c r="A32" s="5" t="s">
        <v>22</v>
      </c>
      <c r="B32" s="5">
        <v>7.0000000000000007E-2</v>
      </c>
      <c r="C32" s="5">
        <v>250</v>
      </c>
      <c r="D32" s="5">
        <v>1</v>
      </c>
      <c r="E32" s="5">
        <v>3</v>
      </c>
      <c r="F32" s="5">
        <v>0</v>
      </c>
      <c r="G32" s="5">
        <v>3</v>
      </c>
      <c r="H32" s="5">
        <v>3</v>
      </c>
      <c r="I32" s="5">
        <v>0</v>
      </c>
      <c r="J32" s="5">
        <v>12</v>
      </c>
    </row>
    <row r="33" spans="1:10" x14ac:dyDescent="0.25">
      <c r="A33" s="5" t="s">
        <v>24</v>
      </c>
      <c r="B33" s="5">
        <v>0</v>
      </c>
      <c r="C33" s="5">
        <v>0</v>
      </c>
      <c r="D33" s="5">
        <v>0</v>
      </c>
      <c r="E33" s="5">
        <v>0</v>
      </c>
      <c r="F33" s="5">
        <v>1</v>
      </c>
      <c r="G33" s="5">
        <v>0</v>
      </c>
      <c r="H33" s="5">
        <v>0</v>
      </c>
      <c r="I33" s="5">
        <v>3</v>
      </c>
      <c r="J33" s="5">
        <v>15</v>
      </c>
    </row>
    <row r="34" spans="1:10" x14ac:dyDescent="0.25">
      <c r="A34" s="5" t="s">
        <v>26</v>
      </c>
      <c r="B34" s="5">
        <v>0</v>
      </c>
      <c r="C34" s="5">
        <v>0</v>
      </c>
      <c r="D34" s="5">
        <v>0</v>
      </c>
      <c r="E34" s="5">
        <v>0</v>
      </c>
      <c r="F34" s="5">
        <v>1</v>
      </c>
      <c r="G34" s="5">
        <v>0</v>
      </c>
      <c r="H34" s="5">
        <v>0</v>
      </c>
      <c r="I34" s="5">
        <v>0</v>
      </c>
      <c r="J34" s="5">
        <v>10</v>
      </c>
    </row>
    <row r="36" spans="1:10" x14ac:dyDescent="0.25">
      <c r="A36" s="39" t="s">
        <v>84</v>
      </c>
      <c r="B36" s="11">
        <f>SUMPRODUCT(B3:B9,B39:B45)</f>
        <v>963</v>
      </c>
    </row>
    <row r="37" spans="1:10" x14ac:dyDescent="0.25">
      <c r="A37" s="10"/>
    </row>
    <row r="38" spans="1:10" x14ac:dyDescent="0.25">
      <c r="A38" s="43" t="s">
        <v>85</v>
      </c>
      <c r="B38" s="44"/>
    </row>
    <row r="39" spans="1:10" x14ac:dyDescent="0.25">
      <c r="A39" s="5" t="s">
        <v>86</v>
      </c>
      <c r="B39" s="5">
        <v>22</v>
      </c>
    </row>
    <row r="40" spans="1:10" x14ac:dyDescent="0.25">
      <c r="A40" s="5" t="s">
        <v>87</v>
      </c>
      <c r="B40" s="5">
        <v>20</v>
      </c>
    </row>
    <row r="41" spans="1:10" x14ac:dyDescent="0.25">
      <c r="A41" s="5" t="s">
        <v>88</v>
      </c>
      <c r="B41" s="5">
        <v>25</v>
      </c>
    </row>
    <row r="42" spans="1:10" x14ac:dyDescent="0.25">
      <c r="A42" s="5" t="s">
        <v>89</v>
      </c>
      <c r="B42" s="5">
        <v>30</v>
      </c>
    </row>
    <row r="43" spans="1:10" x14ac:dyDescent="0.25">
      <c r="A43" s="5" t="s">
        <v>90</v>
      </c>
      <c r="B43" s="5">
        <v>28</v>
      </c>
    </row>
    <row r="44" spans="1:10" x14ac:dyDescent="0.25">
      <c r="A44" s="5" t="s">
        <v>91</v>
      </c>
      <c r="B44" s="5">
        <v>30</v>
      </c>
    </row>
    <row r="45" spans="1:10" x14ac:dyDescent="0.25">
      <c r="A45" s="5" t="s">
        <v>92</v>
      </c>
      <c r="B45" s="5">
        <v>15</v>
      </c>
    </row>
  </sheetData>
  <mergeCells count="2">
    <mergeCell ref="A1:J1"/>
    <mergeCell ref="A38:B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Modelo</vt:lpstr>
      <vt:lpstr>Eficaz</vt:lpstr>
      <vt:lpstr>Acuerdo (Eficiente)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estudianteuc</dc:creator>
  <cp:lastModifiedBy>RICK CB</cp:lastModifiedBy>
  <dcterms:created xsi:type="dcterms:W3CDTF">2026-08-29T19:21:58Z</dcterms:created>
  <dcterms:modified xsi:type="dcterms:W3CDTF">2026-09-10T04:13:40Z</dcterms:modified>
</cp:coreProperties>
</file>